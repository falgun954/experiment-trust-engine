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Raw_Inputs" sheetId="3" state="visible" r:id="rId5"/>
    <sheet name="Trust_Engine" sheetId="4" state="visible" r:id="rId6"/>
    <sheet name="Daily_Lift" sheetId="5" state="visible" r:id="rId7"/>
    <sheet name="Metric_Linea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<sst xmlns="http://schemas.openxmlformats.org/spreadsheetml/2006/main" count="202" uniqueCount="147">
  <si>
    <t xml:space="preserve">Experiment Trust Engine — Excel Edition</t>
  </si>
  <si>
    <t xml:space="preserve">This workbook is a fully live, formula-driven rebuild of the Power BI report from the</t>
  </si>
  <si>
    <t xml:space="preserve">experiment-trust-engine GitHub repo — built in Excel because Power BI Desktop requires</t>
  </si>
  <si>
    <t xml:space="preserve">admin rights that weren't available. Every statistical calculation is a real Excel formula,</t>
  </si>
  <si>
    <t xml:space="preserve">not a pasted value, so it recalculates if you change the Raw_Inputs sheet.</t>
  </si>
  <si>
    <t xml:space="preserve">SHEETS</t>
  </si>
  <si>
    <t xml:space="preserve">  Dashboard      KPI cards + charts (Trust Score leaderboard, novelty-decay lift chart)</t>
  </si>
  <si>
    <t xml:space="preserve">  Trust_Engine   Every formula: SRM chi-square, two-proportion z-test, CI, composite Trust Score</t>
  </si>
  <si>
    <t xml:space="preserve">  Raw_Inputs     Hardcoded inputs (blue font) — raw counts pulled from the synthetic event log</t>
  </si>
  <si>
    <t xml:space="preserve">  Daily_Lift     Day-by-day lift per experiment, feeds the novelty-effect chart</t>
  </si>
  <si>
    <t xml:space="preserve">  Metric_Lineage Documentation of every 'active_user' metric definition version and its effective dates</t>
  </si>
  <si>
    <t xml:space="preserve">COLOR CONVENTION</t>
  </si>
  <si>
    <t xml:space="preserve">  Blue text   = hardcoded input (sourced from data/raw/*.csv via the Python generator)</t>
  </si>
  <si>
    <t xml:space="preserve">  Black text  = formula calculated within this workbook</t>
  </si>
  <si>
    <t xml:space="preserve">  Green text  = link to another sheet</t>
  </si>
  <si>
    <t xml:space="preserve">METHODOLOGY</t>
  </si>
  <si>
    <t xml:space="preserve">  Trust Score = 30 pts (no Sample Ratio Mismatch) + 25 pts (metric definition agreement)</t>
  </si>
  <si>
    <t xml:space="preserve">                + 20 pts (no guardrail regression) + 15 pts (adequate sample size)</t>
  </si>
  <si>
    <t xml:space="preserve">                + 10 pts (no novelty/decay effect). See docs/trust_score_methodology.md</t>
  </si>
  <si>
    <t xml:space="preserve">                in the repo for the full rationale.</t>
  </si>
  <si>
    <t xml:space="preserve">This workbook's formulas mirror dax/measures.md exactly (CHIDIST/NORMSDIST are the</t>
  </si>
  <si>
    <t xml:space="preserve">universally-supported equivalents of Power BI's CHISQ.DIST.RT/NORM.S.DIST), so migrating</t>
  </si>
  <si>
    <t xml:space="preserve">this model into Power BI later — once Desktop is installed — is a direct port.</t>
  </si>
  <si>
    <t xml:space="preserve">Experiment Trust Engine</t>
  </si>
  <si>
    <t xml:space="preserve">Can we actually trust this A/B test result? Live Excel model — every number below is a formula, not a hardcoded value.</t>
  </si>
  <si>
    <t xml:space="preserve">TRUST</t>
  </si>
  <si>
    <t xml:space="preserve">TRUST WITH CAVEATS</t>
  </si>
  <si>
    <t xml:space="preserve">DO NOT TRUST</t>
  </si>
  <si>
    <t xml:space="preserve">AVG TRUST SCORE</t>
  </si>
  <si>
    <t xml:space="preserve">Experiment</t>
  </si>
  <si>
    <t xml:space="preserve">Team</t>
  </si>
  <si>
    <t xml:space="preserve">Trust Score</t>
  </si>
  <si>
    <t xml:space="preserve">Verdict</t>
  </si>
  <si>
    <t xml:space="preserve">Key Reason</t>
  </si>
  <si>
    <t xml:space="preserve">Experiment ID</t>
  </si>
  <si>
    <t xml:space="preserve">Experiment Name</t>
  </si>
  <si>
    <t xml:space="preserve">Owner Team</t>
  </si>
  <si>
    <t xml:space="preserve">Control N</t>
  </si>
  <si>
    <t xml:space="preserve">Treatment N</t>
  </si>
  <si>
    <t xml:space="preserve">Control Conversions</t>
  </si>
  <si>
    <t xml:space="preserve">Treatment Conversions</t>
  </si>
  <si>
    <t xml:space="preserve">Control Guardrail N</t>
  </si>
  <si>
    <t xml:space="preserve">Treatment Guardrail N</t>
  </si>
  <si>
    <t xml:space="preserve">Active Users (Def v1)</t>
  </si>
  <si>
    <t xml:space="preserve">Active Users (Def v2)</t>
  </si>
  <si>
    <t xml:space="preserve">Required N / Arm (MDE=2pp, power=80%)</t>
  </si>
  <si>
    <t xml:space="preserve">Novelty Decay %/day</t>
  </si>
  <si>
    <t xml:space="preserve">Is Novelty Effect (0/1)</t>
  </si>
  <si>
    <t xml:space="preserve">Start Date</t>
  </si>
  <si>
    <t xml:space="preserve">End Date</t>
  </si>
  <si>
    <t xml:space="preserve">EXP-001</t>
  </si>
  <si>
    <t xml:space="preserve">checkout_button_color</t>
  </si>
  <si>
    <t xml:space="preserve">growth</t>
  </si>
  <si>
    <t xml:space="preserve">2025-05-02</t>
  </si>
  <si>
    <t xml:space="preserve">2025-05-23</t>
  </si>
  <si>
    <t xml:space="preserve">EXP-002</t>
  </si>
  <si>
    <t xml:space="preserve">onboarding_flow_v2</t>
  </si>
  <si>
    <t xml:space="preserve">2025-04-12</t>
  </si>
  <si>
    <t xml:space="preserve">2025-05-03</t>
  </si>
  <si>
    <t xml:space="preserve">EXP-003</t>
  </si>
  <si>
    <t xml:space="preserve">recommendation_ranker_v3</t>
  </si>
  <si>
    <t xml:space="preserve">ml-platform</t>
  </si>
  <si>
    <t xml:space="preserve">2025-06-10</t>
  </si>
  <si>
    <t xml:space="preserve">2025-07-08</t>
  </si>
  <si>
    <t xml:space="preserve">EXP-004</t>
  </si>
  <si>
    <t xml:space="preserve">notification_frequency_increase</t>
  </si>
  <si>
    <t xml:space="preserve">2025-06-13</t>
  </si>
  <si>
    <t xml:space="preserve">EXP-005</t>
  </si>
  <si>
    <t xml:space="preserve">active_user_definition_change_test</t>
  </si>
  <si>
    <t xml:space="preserve">analytics-eng</t>
  </si>
  <si>
    <t xml:space="preserve">2025-07-02</t>
  </si>
  <si>
    <t xml:space="preserve">2025-07-23</t>
  </si>
  <si>
    <t xml:space="preserve">EXP-006</t>
  </si>
  <si>
    <t xml:space="preserve">pricing_page_redesign</t>
  </si>
  <si>
    <t xml:space="preserve">monetization</t>
  </si>
  <si>
    <t xml:space="preserve">2025-03-04</t>
  </si>
  <si>
    <t xml:space="preserve">2025-03-18</t>
  </si>
  <si>
    <t xml:space="preserve">EXP-007</t>
  </si>
  <si>
    <t xml:space="preserve">search_autocomplete_v2</t>
  </si>
  <si>
    <t xml:space="preserve">search</t>
  </si>
  <si>
    <t xml:space="preserve">2025-02-18</t>
  </si>
  <si>
    <t xml:space="preserve">2025-03-11</t>
  </si>
  <si>
    <t xml:space="preserve">EXP-008</t>
  </si>
  <si>
    <t xml:space="preserve">signup_form_shortening</t>
  </si>
  <si>
    <t xml:space="preserve">2025-06-05</t>
  </si>
  <si>
    <t xml:space="preserve">2025-06-26</t>
  </si>
  <si>
    <t xml:space="preserve">Source: novelty_decay_pct_per_day and is_novelty_effect are computed via linear</t>
  </si>
  <si>
    <t xml:space="preserve">regression on daily lift (scipy.stats.linregress) — see src/stats/trust_engine.py::novelty_effect_score.</t>
  </si>
  <si>
    <t xml:space="preserve">Required N/arm uses a standard two-proportion power calculation (baseline=10%, MDE=2pp, alpha=0.05, power=80%).</t>
  </si>
  <si>
    <t xml:space="preserve">SRM Chi-Square</t>
  </si>
  <si>
    <t xml:space="preserve">SRM P-Value</t>
  </si>
  <si>
    <t xml:space="preserve">Is SRM?</t>
  </si>
  <si>
    <t xml:space="preserve">Control Conv Rate</t>
  </si>
  <si>
    <t xml:space="preserve">Treatment Conv Rate</t>
  </si>
  <si>
    <t xml:space="preserve">Absolute Lift</t>
  </si>
  <si>
    <t xml:space="preserve">Relative Lift %</t>
  </si>
  <si>
    <t xml:space="preserve">Pooled Rate</t>
  </si>
  <si>
    <t xml:space="preserve">Pooled SE</t>
  </si>
  <si>
    <t xml:space="preserve">Z-Stat</t>
  </si>
  <si>
    <t xml:space="preserve">P-Value</t>
  </si>
  <si>
    <t xml:space="preserve">Significant?</t>
  </si>
  <si>
    <t xml:space="preserve">Unpooled SE</t>
  </si>
  <si>
    <t xml:space="preserve">CI Lower</t>
  </si>
  <si>
    <t xml:space="preserve">CI Upper</t>
  </si>
  <si>
    <t xml:space="preserve">Control Guardrail Rate</t>
  </si>
  <si>
    <t xml:space="preserve">Treatment Guardrail Rate</t>
  </si>
  <si>
    <t xml:space="preserve">Guardrail P-Value</t>
  </si>
  <si>
    <t xml:space="preserve">Guardrail Breached?</t>
  </si>
  <si>
    <t xml:space="preserve">Active Users v1</t>
  </si>
  <si>
    <t xml:space="preserve">Active Users v2</t>
  </si>
  <si>
    <t xml:space="preserve">Definition Agreement %</t>
  </si>
  <si>
    <t xml:space="preserve">Required N/Arm</t>
  </si>
  <si>
    <t xml:space="preserve">Sample Size Adequate?</t>
  </si>
  <si>
    <t xml:space="preserve">Novelty Effect?</t>
  </si>
  <si>
    <t xml:space="preserve">SRM Pts (30)</t>
  </si>
  <si>
    <t xml:space="preserve">Definition Pts (25)</t>
  </si>
  <si>
    <t xml:space="preserve">Guardrail Pts (20)</t>
  </si>
  <si>
    <t xml:space="preserve">Sample Pts (15)</t>
  </si>
  <si>
    <t xml:space="preserve">Novelty Pts (10)</t>
  </si>
  <si>
    <t xml:space="preserve">TRUST SCORE</t>
  </si>
  <si>
    <t xml:space="preserve">VERDICT</t>
  </si>
  <si>
    <t xml:space="preserve">Day</t>
  </si>
  <si>
    <t xml:space="preserve">Metric Name</t>
  </si>
  <si>
    <t xml:space="preserve">Version</t>
  </si>
  <si>
    <t xml:space="preserve">Definition Logic</t>
  </si>
  <si>
    <t xml:space="preserve">Effective Start</t>
  </si>
  <si>
    <t xml:space="preserve">Effective End</t>
  </si>
  <si>
    <t xml:space="preserve">active_user</t>
  </si>
  <si>
    <t xml:space="preserve">v1</t>
  </si>
  <si>
    <t xml:space="preserve">Any user with &gt;= 1 tracked event in the exposure window</t>
  </si>
  <si>
    <t xml:space="preserve">2025-02-02</t>
  </si>
  <si>
    <t xml:space="preserve">2025-02-23</t>
  </si>
  <si>
    <t xml:space="preserve">2025-07-05</t>
  </si>
  <si>
    <t xml:space="preserve">2025-07-26</t>
  </si>
  <si>
    <t xml:space="preserve">2025-06-20</t>
  </si>
  <si>
    <t xml:space="preserve">2025-07-11</t>
  </si>
  <si>
    <t xml:space="preserve">2025-06-06</t>
  </si>
  <si>
    <t xml:space="preserve">2025-06-16</t>
  </si>
  <si>
    <t xml:space="preserve">v2</t>
  </si>
  <si>
    <t xml:space="preserve">User with &gt;= 2 tracked events AND &gt;= 1 core action event</t>
  </si>
  <si>
    <t xml:space="preserve">2025-06-27</t>
  </si>
  <si>
    <t xml:space="preserve">2025-02-17</t>
  </si>
  <si>
    <t xml:space="preserve">2025-03-10</t>
  </si>
  <si>
    <t xml:space="preserve">2025-06-28</t>
  </si>
  <si>
    <t xml:space="preserve">2025-07-19</t>
  </si>
  <si>
    <t xml:space="preserve">This sheet is documentation-as-a-dashboard: every experiment's active_user logic is traceable</t>
  </si>
  <si>
    <t xml:space="preserve">to an exact definition and effective date range. Source: sql/views/analysis_views.sql :: v_user_event_counts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</si>
</sst>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General"/>
    <numFmt numFmtId="168" formatCode="0.000000"/>
    <numFmt numFmtId="169" formatCode="0.0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28"/>
      <color rgb="FF2E7D32"/>
      <name val="Arial"/>
      <family val="0"/>
      <charset val="1"/>
    </font>
    <font>
      <b val="true"/>
      <sz val="28"/>
      <color rgb="FFB7791F"/>
      <name val="Arial"/>
      <family val="0"/>
      <charset val="1"/>
    </font>
    <font>
      <b val="true"/>
      <sz val="28"/>
      <color rgb="FFC0392B"/>
      <name val="Arial"/>
      <family val="0"/>
      <charset val="1"/>
    </font>
    <font>
      <b val="true"/>
      <sz val="28"/>
      <color rgb="FF1F2937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2E7D32"/>
      <rgbColor rgb="FFD9D9D9"/>
      <rgbColor rgb="FF878787"/>
      <rgbColor rgb="FF8EA5CA"/>
      <rgbColor rgb="FFAA433F"/>
      <rgbColor rgb="FFFFFFCC"/>
      <rgbColor rgb="FFCCFFFF"/>
      <rgbColor rgb="FF660066"/>
      <rgbColor rgb="FFCC8F8E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26FA6"/>
      <rgbColor rgb="FF33CCCC"/>
      <rgbColor rgb="FF99CC00"/>
      <rgbColor rgb="FFFFCC00"/>
      <rgbColor rgb="FFDB8238"/>
      <rgbColor rgb="FFB7791F"/>
      <rgbColor rgb="FF6B7280"/>
      <rgbColor rgb="FF87A44B"/>
      <rgbColor rgb="FF003366"/>
      <rgbColor rgb="FF3D97AF"/>
      <rgbColor rgb="FF006100"/>
      <rgbColor rgb="FF333300"/>
      <rgbColor rgb="FFC0392B"/>
      <rgbColor rgb="FF6F568D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Trust Score by Experiment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Trust_Engine!AK1</c:f>
              <c:strCache>
                <c:ptCount val="1"/>
                <c:pt idx="0">
                  <c:v>TRUST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Trust_Engine!$B$2:$B$9</c:f>
              <c:strCache>
                <c:ptCount val="8"/>
                <c:pt idx="0">
                  <c:v>checkout_button_color</c:v>
                </c:pt>
                <c:pt idx="1">
                  <c:v>onboarding_flow_v2</c:v>
                </c:pt>
                <c:pt idx="2">
                  <c:v>recommendation_ranker_v3</c:v>
                </c:pt>
                <c:pt idx="3">
                  <c:v>notification_frequency_increase</c:v>
                </c:pt>
                <c:pt idx="4">
                  <c:v>active_user_definition_change_test</c:v>
                </c:pt>
                <c:pt idx="5">
                  <c:v>pricing_page_redesign</c:v>
                </c:pt>
                <c:pt idx="6">
                  <c:v>search_autocomplete_v2</c:v>
                </c:pt>
                <c:pt idx="7">
                  <c:v>signup_form_shortening</c:v>
                </c:pt>
              </c:strCache>
            </c:strRef>
          </c:cat>
          <c:val>
            <c:numRef>
              <c:f>Trust_Engine!$AK$2:$AK$9</c:f>
              <c:numCache>
                <c:formatCode>0.0</c:formatCode>
                <c:ptCount val="8"/>
                <c:pt idx="0">
                  <c:v>94.061875</c:v>
                </c:pt>
                <c:pt idx="1">
                  <c:v>64.06625</c:v>
                </c:pt>
                <c:pt idx="2">
                  <c:v>74.0569444444444</c:v>
                </c:pt>
                <c:pt idx="3">
                  <c:v>74.0310714285714</c:v>
                </c:pt>
                <c:pt idx="4">
                  <c:v>93.934</c:v>
                </c:pt>
                <c:pt idx="5">
                  <c:v>94.29375</c:v>
                </c:pt>
                <c:pt idx="6">
                  <c:v>93.8658823529412</c:v>
                </c:pt>
                <c:pt idx="7">
                  <c:v>44.0168181818182</c:v>
                </c:pt>
              </c:numCache>
            </c:numRef>
          </c:val>
        </c:ser>
        <c:gapWidth val="150"/>
        <c:overlap val="0"/>
        <c:axId val="5843074"/>
        <c:axId val="10693833"/>
      </c:barChart>
      <c:catAx>
        <c:axId val="584307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Trust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93833"/>
        <c:crosses val="autoZero"/>
        <c:auto val="1"/>
        <c:lblAlgn val="ctr"/>
        <c:lblOffset val="100"/>
        <c:noMultiLvlLbl val="0"/>
      </c:catAx>
      <c:valAx>
        <c:axId val="10693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3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Treatment Lift Over Time (Novelty Check)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Daily_Lift!B1</c:f>
              <c:strCache>
                <c:ptCount val="1"/>
                <c:pt idx="0">
                  <c:v>EXP-001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Daily_Lift!$B$2:$B$34</c:f>
              <c:numCache>
                <c:formatCode>0.00%</c:formatCode>
                <c:ptCount val="33"/>
                <c:pt idx="0">
                  <c:v>0.0011217788377872</c:v>
                </c:pt>
                <c:pt idx="1">
                  <c:v>0.0023196675599458</c:v>
                </c:pt>
                <c:pt idx="2">
                  <c:v>0.0039897645969356</c:v>
                </c:pt>
                <c:pt idx="3">
                  <c:v>0.0069984065028949</c:v>
                </c:pt>
                <c:pt idx="4">
                  <c:v>0.0101297153103036</c:v>
                </c:pt>
                <c:pt idx="5">
                  <c:v>0.0115014959038863</c:v>
                </c:pt>
                <c:pt idx="6">
                  <c:v>0.0147705055713768</c:v>
                </c:pt>
                <c:pt idx="7">
                  <c:v>0.016790871592339</c:v>
                </c:pt>
                <c:pt idx="8">
                  <c:v>0.0189151876987985</c:v>
                </c:pt>
                <c:pt idx="9">
                  <c:v>0.0211355731261436</c:v>
                </c:pt>
                <c:pt idx="10">
                  <c:v>0.0237986140010269</c:v>
                </c:pt>
                <c:pt idx="11">
                  <c:v>0.0259278555853685</c:v>
                </c:pt>
                <c:pt idx="12">
                  <c:v>0.0283334839854499</c:v>
                </c:pt>
                <c:pt idx="13">
                  <c:v>0.0295993443023825</c:v>
                </c:pt>
                <c:pt idx="14">
                  <c:v>0.0315780787841488</c:v>
                </c:pt>
                <c:pt idx="15">
                  <c:v>0.0340440555393785</c:v>
                </c:pt>
                <c:pt idx="16">
                  <c:v>0.0363119830793783</c:v>
                </c:pt>
                <c:pt idx="17">
                  <c:v>0.0386897712783338</c:v>
                </c:pt>
                <c:pt idx="18">
                  <c:v>0.0411239674501319</c:v>
                </c:pt>
                <c:pt idx="19">
                  <c:v>0.0441037840593889</c:v>
                </c:pt>
                <c:pt idx="20">
                  <c:v>0.0464736914937329</c:v>
                </c:pt>
                <c:pt idx="21">
                  <c:v>0.0489239067197397</c:v>
                </c:pt>
                <c:pt idx="22">
                  <c:v>0.0512970269657987</c:v>
                </c:pt>
                <c:pt idx="23">
                  <c:v>0.0525532938519527</c:v>
                </c:pt>
                <c:pt idx="24">
                  <c:v>0.0532799593548565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Daily_Lift!C1</c:f>
              <c:strCache>
                <c:ptCount val="1"/>
                <c:pt idx="0">
                  <c:v>EXP-002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Daily_Lift!$C$2:$C$34</c:f>
              <c:numCache>
                <c:formatCode>0.00%</c:formatCode>
                <c:ptCount val="33"/>
                <c:pt idx="0">
                  <c:v>0.0006438190764452</c:v>
                </c:pt>
                <c:pt idx="1">
                  <c:v>0.000597534053572</c:v>
                </c:pt>
                <c:pt idx="2">
                  <c:v>0.0009703913887959</c:v>
                </c:pt>
                <c:pt idx="3">
                  <c:v>0.0035536764826344</c:v>
                </c:pt>
                <c:pt idx="4">
                  <c:v>0.0040128064128602</c:v>
                </c:pt>
                <c:pt idx="5">
                  <c:v>0.0055758436084633</c:v>
                </c:pt>
                <c:pt idx="6">
                  <c:v>0.0082347229132269</c:v>
                </c:pt>
                <c:pt idx="7">
                  <c:v>0.0102821565027307</c:v>
                </c:pt>
                <c:pt idx="8">
                  <c:v>0.0109983928806491</c:v>
                </c:pt>
                <c:pt idx="9">
                  <c:v>0.0137330918689746</c:v>
                </c:pt>
                <c:pt idx="10">
                  <c:v>0.0164000926981142</c:v>
                </c:pt>
                <c:pt idx="11">
                  <c:v>0.018815495376077</c:v>
                </c:pt>
                <c:pt idx="12">
                  <c:v>0.0204028971448079</c:v>
                </c:pt>
                <c:pt idx="13">
                  <c:v>0.0215032892917782</c:v>
                </c:pt>
                <c:pt idx="14">
                  <c:v>0.0226307719760546</c:v>
                </c:pt>
                <c:pt idx="15">
                  <c:v>0.0247755511217514</c:v>
                </c:pt>
                <c:pt idx="16">
                  <c:v>0.0267743119331586</c:v>
                </c:pt>
                <c:pt idx="17">
                  <c:v>0.0281966699865107</c:v>
                </c:pt>
                <c:pt idx="18">
                  <c:v>0.0304632156296874</c:v>
                </c:pt>
                <c:pt idx="19">
                  <c:v>0.0325025276948152</c:v>
                </c:pt>
                <c:pt idx="20">
                  <c:v>0.0339006339113578</c:v>
                </c:pt>
                <c:pt idx="21">
                  <c:v>0.035144600269235</c:v>
                </c:pt>
                <c:pt idx="22">
                  <c:v>0.0361777452022928</c:v>
                </c:pt>
                <c:pt idx="23">
                  <c:v>0.0364182140241193</c:v>
                </c:pt>
                <c:pt idx="24">
                  <c:v>0.0369835438209834</c:v>
                </c:pt>
                <c:pt idx="25">
                  <c:v>0.0369835438209834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Daily_Lift!D1</c:f>
              <c:strCache>
                <c:ptCount val="1"/>
                <c:pt idx="0">
                  <c:v>EXP-003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Daily_Lift!$D$2:$D$34</c:f>
              <c:numCache>
                <c:formatCode>0.00%</c:formatCode>
                <c:ptCount val="33"/>
                <c:pt idx="0">
                  <c:v>0.0003949649134069</c:v>
                </c:pt>
                <c:pt idx="1">
                  <c:v>0.0016070696645415</c:v>
                </c:pt>
                <c:pt idx="2">
                  <c:v>0.0039712788705129</c:v>
                </c:pt>
                <c:pt idx="3">
                  <c:v>0.0065756374105551</c:v>
                </c:pt>
                <c:pt idx="4">
                  <c:v>0.0095963436856478</c:v>
                </c:pt>
                <c:pt idx="5">
                  <c:v>0.0128399646418007</c:v>
                </c:pt>
                <c:pt idx="6">
                  <c:v>0.0164409206959046</c:v>
                </c:pt>
                <c:pt idx="7">
                  <c:v>0.0192848359744986</c:v>
                </c:pt>
                <c:pt idx="8">
                  <c:v>0.0219740344396762</c:v>
                </c:pt>
                <c:pt idx="9">
                  <c:v>0.0251525192717001</c:v>
                </c:pt>
                <c:pt idx="10">
                  <c:v>0.027931891021684</c:v>
                </c:pt>
                <c:pt idx="11">
                  <c:v>0.0291796502698778</c:v>
                </c:pt>
                <c:pt idx="12">
                  <c:v>0.0313800561978083</c:v>
                </c:pt>
                <c:pt idx="13">
                  <c:v>0.0333818932439172</c:v>
                </c:pt>
                <c:pt idx="14">
                  <c:v>0.0352960261532155</c:v>
                </c:pt>
                <c:pt idx="15">
                  <c:v>0.0365220075160865</c:v>
                </c:pt>
                <c:pt idx="16">
                  <c:v>0.0382372752458036</c:v>
                </c:pt>
                <c:pt idx="17">
                  <c:v>0.0391729341873293</c:v>
                </c:pt>
                <c:pt idx="18">
                  <c:v>0.040310421286031</c:v>
                </c:pt>
                <c:pt idx="19">
                  <c:v>0.0416706255339532</c:v>
                </c:pt>
                <c:pt idx="20">
                  <c:v>0.0424306786700181</c:v>
                </c:pt>
                <c:pt idx="21">
                  <c:v>0.0435672768754413</c:v>
                </c:pt>
                <c:pt idx="22">
                  <c:v>0.0437949817036133</c:v>
                </c:pt>
                <c:pt idx="23">
                  <c:v>0.0450886671045289</c:v>
                </c:pt>
                <c:pt idx="24">
                  <c:v>0.0461140055012617</c:v>
                </c:pt>
                <c:pt idx="25">
                  <c:v>0.0463864512911175</c:v>
                </c:pt>
                <c:pt idx="26">
                  <c:v>0.0467909471157882</c:v>
                </c:pt>
                <c:pt idx="27">
                  <c:v>0.0476398895797016</c:v>
                </c:pt>
                <c:pt idx="28">
                  <c:v>0.048447745420965</c:v>
                </c:pt>
                <c:pt idx="29">
                  <c:v>0.0485472520851954</c:v>
                </c:pt>
                <c:pt idx="30">
                  <c:v>0.0491852305443483</c:v>
                </c:pt>
                <c:pt idx="31">
                  <c:v>0.0491827613963525</c:v>
                </c:pt>
                <c:pt idx="32">
                  <c:v>0.0491825638645129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Daily_Lift!E1</c:f>
              <c:strCache>
                <c:ptCount val="1"/>
                <c:pt idx="0">
                  <c:v>EXP-004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Daily_Lift!$E$2:$E$34</c:f>
              <c:numCache>
                <c:formatCode>0.00%</c:formatCode>
                <c:ptCount val="33"/>
                <c:pt idx="0">
                  <c:v>0.0003840798295914</c:v>
                </c:pt>
                <c:pt idx="1">
                  <c:v>0.0003499820687559</c:v>
                </c:pt>
                <c:pt idx="2">
                  <c:v>0.001985547194499</c:v>
                </c:pt>
                <c:pt idx="3">
                  <c:v>0.0044638367486071</c:v>
                </c:pt>
                <c:pt idx="4">
                  <c:v>0.0071540290938491</c:v>
                </c:pt>
                <c:pt idx="5">
                  <c:v>0.0094560647033127</c:v>
                </c:pt>
                <c:pt idx="6">
                  <c:v>0.0119276829563878</c:v>
                </c:pt>
                <c:pt idx="7">
                  <c:v>0.0141614544698672</c:v>
                </c:pt>
                <c:pt idx="8">
                  <c:v>0.0173095501582123</c:v>
                </c:pt>
                <c:pt idx="9">
                  <c:v>0.0190334618573518</c:v>
                </c:pt>
                <c:pt idx="10">
                  <c:v>0.0218360915852761</c:v>
                </c:pt>
                <c:pt idx="11">
                  <c:v>0.0239618732500952</c:v>
                </c:pt>
                <c:pt idx="12">
                  <c:v>0.0267335212666264</c:v>
                </c:pt>
                <c:pt idx="13">
                  <c:v>0.0290598672864501</c:v>
                </c:pt>
                <c:pt idx="14">
                  <c:v>0.0311483665666782</c:v>
                </c:pt>
                <c:pt idx="15">
                  <c:v>0.0339270565120775</c:v>
                </c:pt>
                <c:pt idx="16">
                  <c:v>0.037102427633464</c:v>
                </c:pt>
                <c:pt idx="17">
                  <c:v>0.0390280155711137</c:v>
                </c:pt>
                <c:pt idx="18">
                  <c:v>0.0412949925629973</c:v>
                </c:pt>
                <c:pt idx="19">
                  <c:v>0.0426741795573864</c:v>
                </c:pt>
                <c:pt idx="20">
                  <c:v>0.0446303785785941</c:v>
                </c:pt>
                <c:pt idx="21">
                  <c:v>0.0464826646573282</c:v>
                </c:pt>
                <c:pt idx="22">
                  <c:v>0.0471504666256283</c:v>
                </c:pt>
                <c:pt idx="23">
                  <c:v>0.0482869201442515</c:v>
                </c:pt>
                <c:pt idx="24">
                  <c:v>0.0488995810175593</c:v>
                </c:pt>
                <c:pt idx="25">
                  <c:v>0.0489279683341063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Daily_Lift!F1</c:f>
              <c:strCache>
                <c:ptCount val="1"/>
                <c:pt idx="0">
                  <c:v>EXP-005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Daily_Lift!$F$2:$F$34</c:f>
              <c:numCache>
                <c:formatCode>0.00%</c:formatCode>
                <c:ptCount val="33"/>
                <c:pt idx="0">
                  <c:v>0.0004268364465507</c:v>
                </c:pt>
                <c:pt idx="1">
                  <c:v>0.0014863473418884</c:v>
                </c:pt>
                <c:pt idx="2">
                  <c:v>0.0034496845928027</c:v>
                </c:pt>
                <c:pt idx="3">
                  <c:v>0.0051622145301757</c:v>
                </c:pt>
                <c:pt idx="4">
                  <c:v>0.007669583645059</c:v>
                </c:pt>
                <c:pt idx="5">
                  <c:v>0.0096143443542813</c:v>
                </c:pt>
                <c:pt idx="6">
                  <c:v>0.011271968690607</c:v>
                </c:pt>
                <c:pt idx="7">
                  <c:v>0.0129352091906999</c:v>
                </c:pt>
                <c:pt idx="8">
                  <c:v>0.0135917243346816</c:v>
                </c:pt>
                <c:pt idx="9">
                  <c:v>0.016095637348785</c:v>
                </c:pt>
                <c:pt idx="10">
                  <c:v>0.0166375491509332</c:v>
                </c:pt>
                <c:pt idx="11">
                  <c:v>0.0196988864195279</c:v>
                </c:pt>
                <c:pt idx="12">
                  <c:v>0.0215191074971746</c:v>
                </c:pt>
                <c:pt idx="13">
                  <c:v>0.0236960989782462</c:v>
                </c:pt>
                <c:pt idx="14">
                  <c:v>0.0246704633907124</c:v>
                </c:pt>
                <c:pt idx="15">
                  <c:v>0.0246480387368095</c:v>
                </c:pt>
                <c:pt idx="16">
                  <c:v>0.0250692990207594</c:v>
                </c:pt>
                <c:pt idx="17">
                  <c:v>0.0282495597571625</c:v>
                </c:pt>
                <c:pt idx="18">
                  <c:v>0.0287888794837257</c:v>
                </c:pt>
                <c:pt idx="19">
                  <c:v>0.0289338037097161</c:v>
                </c:pt>
                <c:pt idx="20">
                  <c:v>0.0316318903859236</c:v>
                </c:pt>
                <c:pt idx="21">
                  <c:v>0.0326667765632045</c:v>
                </c:pt>
                <c:pt idx="22">
                  <c:v>0.0338707396707688</c:v>
                </c:pt>
                <c:pt idx="23">
                  <c:v>0.0346478663317822</c:v>
                </c:pt>
                <c:pt idx="24">
                  <c:v>0.0347953426321911</c:v>
                </c:pt>
                <c:pt idx="25">
                  <c:v>0.0347551254594584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Daily_Lift!G1</c:f>
              <c:strCache>
                <c:ptCount val="1"/>
                <c:pt idx="0">
                  <c:v>EXP-006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Daily_Lift!$G$2:$G$34</c:f>
              <c:numCache>
                <c:formatCode>0.00%</c:formatCode>
                <c:ptCount val="33"/>
                <c:pt idx="0">
                  <c:v>0.0009990000624375</c:v>
                </c:pt>
                <c:pt idx="1">
                  <c:v>0.0017470626091914</c:v>
                </c:pt>
                <c:pt idx="2">
                  <c:v>0.0067438129214883</c:v>
                </c:pt>
                <c:pt idx="3">
                  <c:v>0.0084905005306562</c:v>
                </c:pt>
                <c:pt idx="4">
                  <c:v>0.0162356885147305</c:v>
                </c:pt>
                <c:pt idx="5">
                  <c:v>0.0197303137331446</c:v>
                </c:pt>
                <c:pt idx="6">
                  <c:v>0.029224689326543</c:v>
                </c:pt>
                <c:pt idx="7">
                  <c:v>0.0359695022480938</c:v>
                </c:pt>
                <c:pt idx="8">
                  <c:v>0.0407149400446837</c:v>
                </c:pt>
                <c:pt idx="9">
                  <c:v>0.0467098154193634</c:v>
                </c:pt>
                <c:pt idx="10">
                  <c:v>0.0539552533722033</c:v>
                </c:pt>
                <c:pt idx="11">
                  <c:v>0.0611993163249572</c:v>
                </c:pt>
                <c:pt idx="12">
                  <c:v>0.0666940666683791</c:v>
                </c:pt>
                <c:pt idx="13">
                  <c:v>0.0699398793712424</c:v>
                </c:pt>
                <c:pt idx="14">
                  <c:v>0.0779363798710237</c:v>
                </c:pt>
                <c:pt idx="15">
                  <c:v>0.0806831925426995</c:v>
                </c:pt>
                <c:pt idx="16">
                  <c:v>0.0864311304019456</c:v>
                </c:pt>
                <c:pt idx="17">
                  <c:v>0.087680192980012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Daily_Lift!H1</c:f>
              <c:strCache>
                <c:ptCount val="1"/>
                <c:pt idx="0">
                  <c:v>EXP-007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Daily_Lift!$H$2:$H$34</c:f>
              <c:numCache>
                <c:formatCode>0.00%</c:formatCode>
                <c:ptCount val="33"/>
                <c:pt idx="0">
                  <c:v>0.0001700436860836</c:v>
                </c:pt>
                <c:pt idx="1">
                  <c:v>6.22122524499415E-005</c:v>
                </c:pt>
                <c:pt idx="2">
                  <c:v>-0.0004868179342996</c:v>
                </c:pt>
                <c:pt idx="3">
                  <c:v>-0.0010532506104259</c:v>
                </c:pt>
                <c:pt idx="4">
                  <c:v>-0.0008382653955301</c:v>
                </c:pt>
                <c:pt idx="5">
                  <c:v>-0.001047735273068</c:v>
                </c:pt>
                <c:pt idx="6">
                  <c:v>-0.0019387069641684</c:v>
                </c:pt>
                <c:pt idx="7">
                  <c:v>-0.0023550019926273</c:v>
                </c:pt>
                <c:pt idx="8">
                  <c:v>-0.0023300982679704</c:v>
                </c:pt>
                <c:pt idx="9">
                  <c:v>-0.0020216534968222</c:v>
                </c:pt>
                <c:pt idx="10">
                  <c:v>-0.0020651644261832</c:v>
                </c:pt>
                <c:pt idx="11">
                  <c:v>-0.0015437015143845</c:v>
                </c:pt>
                <c:pt idx="12">
                  <c:v>-0.0010248739173644</c:v>
                </c:pt>
                <c:pt idx="13">
                  <c:v>-0.0007173515063887</c:v>
                </c:pt>
                <c:pt idx="14">
                  <c:v>-0.0006664805193249</c:v>
                </c:pt>
                <c:pt idx="15">
                  <c:v>-7.56805933358473E-005</c:v>
                </c:pt>
                <c:pt idx="16">
                  <c:v>0.0003047365067812</c:v>
                </c:pt>
                <c:pt idx="17">
                  <c:v>0.000521698207761</c:v>
                </c:pt>
                <c:pt idx="18">
                  <c:v>0.0009034329652673</c:v>
                </c:pt>
                <c:pt idx="19">
                  <c:v>0.0017065922032122</c:v>
                </c:pt>
                <c:pt idx="20">
                  <c:v>0.0013790131644043</c:v>
                </c:pt>
                <c:pt idx="21">
                  <c:v>0.0012358496890615</c:v>
                </c:pt>
                <c:pt idx="22">
                  <c:v>0.0017693126949409</c:v>
                </c:pt>
                <c:pt idx="23">
                  <c:v>0.0015209625125813</c:v>
                </c:pt>
                <c:pt idx="24">
                  <c:v>0.0014797010126206</c:v>
                </c:pt>
                <c:pt idx="25">
                  <c:v>0.0014562372992533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Daily_Lift!I1</c:f>
              <c:strCache>
                <c:ptCount val="1"/>
                <c:pt idx="0">
                  <c:v>EXP-008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Daily_Lift!$A$2:$A$34</c:f>
              <c:strCach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Ref>
              <c:f>Daily_Lift!$I$2:$I$34</c:f>
              <c:numCache>
                <c:formatCode>0.00%</c:formatCode>
                <c:ptCount val="33"/>
                <c:pt idx="0">
                  <c:v>0.0003917714844632</c:v>
                </c:pt>
                <c:pt idx="1">
                  <c:v>0.0016439517557851</c:v>
                </c:pt>
                <c:pt idx="2">
                  <c:v>0.0041367081079593</c:v>
                </c:pt>
                <c:pt idx="3">
                  <c:v>0.0064752232166365</c:v>
                </c:pt>
                <c:pt idx="4">
                  <c:v>0.0091735319308251</c:v>
                </c:pt>
                <c:pt idx="5">
                  <c:v>0.0122563926880137</c:v>
                </c:pt>
                <c:pt idx="6">
                  <c:v>0.0154006399312913</c:v>
                </c:pt>
                <c:pt idx="7">
                  <c:v>0.0166829826043735</c:v>
                </c:pt>
                <c:pt idx="8">
                  <c:v>0.0175624592101557</c:v>
                </c:pt>
                <c:pt idx="9">
                  <c:v>0.0193936493036551</c:v>
                </c:pt>
                <c:pt idx="10">
                  <c:v>0.0197235034607454</c:v>
                </c:pt>
                <c:pt idx="11">
                  <c:v>0.0206540469980543</c:v>
                </c:pt>
                <c:pt idx="12">
                  <c:v>0.0222079786888882</c:v>
                </c:pt>
                <c:pt idx="13">
                  <c:v>0.0220101341423184</c:v>
                </c:pt>
                <c:pt idx="14">
                  <c:v>0.021516717168783</c:v>
                </c:pt>
                <c:pt idx="15">
                  <c:v>0.0225896323384773</c:v>
                </c:pt>
                <c:pt idx="16">
                  <c:v>0.0237662314277745</c:v>
                </c:pt>
                <c:pt idx="17">
                  <c:v>0.0247669309491849</c:v>
                </c:pt>
                <c:pt idx="18">
                  <c:v>0.0256384130852291</c:v>
                </c:pt>
                <c:pt idx="19">
                  <c:v>0.0266873448457095</c:v>
                </c:pt>
                <c:pt idx="20">
                  <c:v>0.0276238231885741</c:v>
                </c:pt>
                <c:pt idx="21">
                  <c:v>0.028077225346117</c:v>
                </c:pt>
                <c:pt idx="22">
                  <c:v>0.0284811106286825</c:v>
                </c:pt>
                <c:pt idx="23">
                  <c:v>0.0293691125454867</c:v>
                </c:pt>
                <c:pt idx="24">
                  <c:v>0.0293273247196053</c:v>
                </c:pt>
                <c:pt idx="25">
                  <c:v>0.0293572429343751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913338"/>
        <c:axId val="64083464"/>
      </c:lineChart>
      <c:catAx>
        <c:axId val="65913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83464"/>
        <c:crosses val="autoZero"/>
        <c:auto val="1"/>
        <c:lblAlgn val="ctr"/>
        <c:lblOffset val="100"/>
        <c:noMultiLvlLbl val="0"/>
      </c:catAx>
      <c:valAx>
        <c:axId val="64083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Lift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13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131040</xdr:rowOff>
    </xdr:from>
    <xdr:to>
      <xdr:col>6</xdr:col>
      <xdr:colOff>1389600</xdr:colOff>
      <xdr:row>36</xdr:row>
      <xdr:rowOff>153000</xdr:rowOff>
    </xdr:to>
    <xdr:graphicFrame>
      <xdr:nvGraphicFramePr>
        <xdr:cNvPr id="0" name="Chart 1"/>
        <xdr:cNvGraphicFramePr/>
      </xdr:nvGraphicFramePr>
      <xdr:xfrm>
        <a:off x="211320" y="4191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131040</xdr:rowOff>
    </xdr:from>
    <xdr:to>
      <xdr:col>19</xdr:col>
      <xdr:colOff>162720</xdr:colOff>
      <xdr:row>36</xdr:row>
      <xdr:rowOff>153000</xdr:rowOff>
    </xdr:to>
    <xdr:graphicFrame>
      <xdr:nvGraphicFramePr>
        <xdr:cNvPr id="1" name="Chart 2"/>
        <xdr:cNvGraphicFramePr/>
      </xdr:nvGraphicFramePr>
      <xdr:xfrm>
        <a:off x="8105760" y="4191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/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2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2" t="s">
        <v>19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 t="s">
        <v>21</v>
      </c>
    </row>
    <row r="30" customFormat="false" ht="15" hidden="false" customHeight="false" outlineLevel="0" collapsed="false">
      <c r="B30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11" min="8" style="0" width="10"/>
  </cols>
  <sheetData>
    <row r="2" customFormat="false" ht="19.7" hidden="false" customHeight="false" outlineLevel="0" collapsed="false">
      <c r="B2" s="4" t="s">
        <v>23</v>
      </c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B3" s="5" t="s">
        <v>24</v>
      </c>
      <c r="C3" s="5"/>
      <c r="D3" s="5"/>
      <c r="E3" s="5"/>
      <c r="F3" s="5"/>
      <c r="G3" s="5"/>
      <c r="H3" s="5"/>
      <c r="I3" s="5"/>
      <c r="J3" s="5"/>
      <c r="K3" s="5"/>
    </row>
    <row r="5" customFormat="false" ht="15" hidden="false" customHeight="false" outlineLevel="0" collapsed="false">
      <c r="B5" s="6" t="n">
        <f aca="false">COUNTIF(Trust_Engine!AL2:AL9,"TRUST")</f>
        <v>4</v>
      </c>
      <c r="C5" s="6"/>
      <c r="E5" s="7" t="n">
        <f aca="false">COUNTIF(Trust_Engine!AL2:AL9,"TRUST WITH CAVEATS")</f>
        <v>3</v>
      </c>
      <c r="F5" s="7"/>
      <c r="H5" s="8" t="n">
        <f aca="false">COUNTIF(Trust_Engine!AL2:AL9,"DO NOT TRUST")</f>
        <v>1</v>
      </c>
      <c r="I5" s="8"/>
      <c r="K5" s="9" t="n">
        <f aca="false">AVERAGE(Trust_Engine!AK2:AK9)</f>
        <v>79.0408239259719</v>
      </c>
      <c r="L5" s="9"/>
    </row>
    <row r="6" customFormat="false" ht="15" hidden="false" customHeight="false" outlineLevel="0" collapsed="false">
      <c r="B6" s="6"/>
      <c r="C6" s="6"/>
      <c r="E6" s="7"/>
      <c r="F6" s="7"/>
      <c r="H6" s="8"/>
      <c r="I6" s="8"/>
      <c r="K6" s="9"/>
      <c r="L6" s="9"/>
    </row>
    <row r="7" customFormat="false" ht="15" hidden="false" customHeight="false" outlineLevel="0" collapsed="false">
      <c r="B7" s="6"/>
      <c r="C7" s="6"/>
      <c r="E7" s="7"/>
      <c r="F7" s="7"/>
      <c r="H7" s="8"/>
      <c r="I7" s="8"/>
      <c r="K7" s="9"/>
      <c r="L7" s="9"/>
    </row>
    <row r="8" customFormat="false" ht="15" hidden="false" customHeight="false" outlineLevel="0" collapsed="false">
      <c r="B8" s="10" t="s">
        <v>25</v>
      </c>
      <c r="C8" s="10"/>
      <c r="E8" s="10" t="s">
        <v>26</v>
      </c>
      <c r="F8" s="10"/>
      <c r="H8" s="10" t="s">
        <v>27</v>
      </c>
      <c r="I8" s="10"/>
      <c r="K8" s="10" t="s">
        <v>28</v>
      </c>
      <c r="L8" s="10"/>
    </row>
    <row r="11" customFormat="false" ht="15" hidden="false" customHeight="false" outlineLevel="0" collapsed="false">
      <c r="B11" s="11" t="s">
        <v>29</v>
      </c>
      <c r="D11" s="11" t="s">
        <v>30</v>
      </c>
      <c r="E11" s="11" t="s">
        <v>31</v>
      </c>
      <c r="F11" s="11" t="s">
        <v>32</v>
      </c>
      <c r="G11" s="11" t="s">
        <v>33</v>
      </c>
      <c r="H11" s="11"/>
      <c r="I11" s="11"/>
      <c r="J11" s="11"/>
      <c r="K11" s="11"/>
    </row>
    <row r="12" customFormat="false" ht="15" hidden="false" customHeight="false" outlineLevel="0" collapsed="false">
      <c r="B12" s="12" t="str">
        <f aca="false">Trust_Engine!B2</f>
        <v>checkout_button_color</v>
      </c>
      <c r="C12" s="12"/>
      <c r="D12" s="12" t="str">
        <f aca="false">Trust_Engine!C2</f>
        <v>growth</v>
      </c>
      <c r="E12" s="13" t="n">
        <f aca="false">Trust_Engine!AK2</f>
        <v>94.061875</v>
      </c>
      <c r="F12" s="14" t="str">
        <f aca="false">Trust_Engine!AL2</f>
        <v>TRUST</v>
      </c>
      <c r="G12" s="15" t="str">
        <f aca="false">IF(Trust_Engine!H2=1,"SRM detected — allocation not trustworthy. ","")&amp;IF(Trust_Engine!X2=1,"Guardrail regressed. ","")&amp;IF(Trust_Engine!AE2=1,"Novelty decay detected. ","")&amp;IF(Trust_Engine!AC2=0,"Underpowered sample. ","")&amp;IF(AND(Trust_Engine!H2=0,Trust_Engine!X2=0,Trust_Engine!AE2=0,Trust_Engine!AC2=1),"No issues detected","")</f>
        <v>No issues detected</v>
      </c>
      <c r="H12" s="15"/>
      <c r="I12" s="15"/>
      <c r="J12" s="15"/>
      <c r="K12" s="15"/>
    </row>
    <row r="13" customFormat="false" ht="15" hidden="false" customHeight="false" outlineLevel="0" collapsed="false">
      <c r="B13" s="12" t="str">
        <f aca="false">Trust_Engine!B3</f>
        <v>onboarding_flow_v2</v>
      </c>
      <c r="C13" s="12"/>
      <c r="D13" s="12" t="str">
        <f aca="false">Trust_Engine!C3</f>
        <v>growth</v>
      </c>
      <c r="E13" s="13" t="n">
        <f aca="false">Trust_Engine!AK3</f>
        <v>64.06625</v>
      </c>
      <c r="F13" s="14" t="str">
        <f aca="false">Trust_Engine!AL3</f>
        <v>TRUST WITH CAVEATS</v>
      </c>
      <c r="G13" s="15" t="str">
        <f aca="false">IF(Trust_Engine!H3=1,"SRM detected — allocation not trustworthy. ","")&amp;IF(Trust_Engine!X3=1,"Guardrail regressed. ","")&amp;IF(Trust_Engine!AE3=1,"Novelty decay detected. ","")&amp;IF(Trust_Engine!AC3=0,"Underpowered sample. ","")&amp;IF(AND(Trust_Engine!H3=0,Trust_Engine!X3=0,Trust_Engine!AE3=0,Trust_Engine!AC3=1),"No issues detected","")</f>
        <v>SRM detected — allocation not trustworthy. </v>
      </c>
      <c r="H13" s="15"/>
      <c r="I13" s="15"/>
      <c r="J13" s="15"/>
      <c r="K13" s="15"/>
    </row>
    <row r="14" customFormat="false" ht="15" hidden="false" customHeight="false" outlineLevel="0" collapsed="false">
      <c r="B14" s="12" t="str">
        <f aca="false">Trust_Engine!B4</f>
        <v>recommendation_ranker_v3</v>
      </c>
      <c r="C14" s="12"/>
      <c r="D14" s="12" t="str">
        <f aca="false">Trust_Engine!C4</f>
        <v>ml-platform</v>
      </c>
      <c r="E14" s="13" t="n">
        <f aca="false">Trust_Engine!AK4</f>
        <v>74.0569444444444</v>
      </c>
      <c r="F14" s="14" t="str">
        <f aca="false">Trust_Engine!AL4</f>
        <v>TRUST WITH CAVEATS</v>
      </c>
      <c r="G14" s="15" t="str">
        <f aca="false">IF(Trust_Engine!H4=1,"SRM detected — allocation not trustworthy. ","")&amp;IF(Trust_Engine!X4=1,"Guardrail regressed. ","")&amp;IF(Trust_Engine!AE4=1,"Novelty decay detected. ","")&amp;IF(Trust_Engine!AC4=0,"Underpowered sample. ","")&amp;IF(AND(Trust_Engine!H4=0,Trust_Engine!X4=0,Trust_Engine!AE4=0,Trust_Engine!AC4=1),"No issues detected","")</f>
        <v>Guardrail regressed. </v>
      </c>
      <c r="H14" s="15"/>
      <c r="I14" s="15"/>
      <c r="J14" s="15"/>
      <c r="K14" s="15"/>
    </row>
    <row r="15" customFormat="false" ht="15" hidden="false" customHeight="false" outlineLevel="0" collapsed="false">
      <c r="B15" s="12" t="str">
        <f aca="false">Trust_Engine!B5</f>
        <v>notification_frequency_increase</v>
      </c>
      <c r="C15" s="12"/>
      <c r="D15" s="12" t="str">
        <f aca="false">Trust_Engine!C5</f>
        <v>growth</v>
      </c>
      <c r="E15" s="13" t="n">
        <f aca="false">Trust_Engine!AK5</f>
        <v>74.0310714285714</v>
      </c>
      <c r="F15" s="14" t="str">
        <f aca="false">Trust_Engine!AL5</f>
        <v>TRUST WITH CAVEATS</v>
      </c>
      <c r="G15" s="15" t="str">
        <f aca="false">IF(Trust_Engine!H5=1,"SRM detected — allocation not trustworthy. ","")&amp;IF(Trust_Engine!X5=1,"Guardrail regressed. ","")&amp;IF(Trust_Engine!AE5=1,"Novelty decay detected. ","")&amp;IF(Trust_Engine!AC5=0,"Underpowered sample. ","")&amp;IF(AND(Trust_Engine!H5=0,Trust_Engine!X5=0,Trust_Engine!AE5=0,Trust_Engine!AC5=1),"No issues detected","")</f>
        <v>Guardrail regressed. </v>
      </c>
      <c r="H15" s="15"/>
      <c r="I15" s="15"/>
      <c r="J15" s="15"/>
      <c r="K15" s="15"/>
    </row>
    <row r="16" customFormat="false" ht="15" hidden="false" customHeight="false" outlineLevel="0" collapsed="false">
      <c r="B16" s="12" t="str">
        <f aca="false">Trust_Engine!B6</f>
        <v>active_user_definition_change_test</v>
      </c>
      <c r="C16" s="12"/>
      <c r="D16" s="12" t="str">
        <f aca="false">Trust_Engine!C6</f>
        <v>analytics-eng</v>
      </c>
      <c r="E16" s="13" t="n">
        <f aca="false">Trust_Engine!AK6</f>
        <v>93.934</v>
      </c>
      <c r="F16" s="14" t="str">
        <f aca="false">Trust_Engine!AL6</f>
        <v>TRUST</v>
      </c>
      <c r="G16" s="15" t="str">
        <f aca="false">IF(Trust_Engine!H6=1,"SRM detected — allocation not trustworthy. ","")&amp;IF(Trust_Engine!X6=1,"Guardrail regressed. ","")&amp;IF(Trust_Engine!AE6=1,"Novelty decay detected. ","")&amp;IF(Trust_Engine!AC6=0,"Underpowered sample. ","")&amp;IF(AND(Trust_Engine!H6=0,Trust_Engine!X6=0,Trust_Engine!AE6=0,Trust_Engine!AC6=1),"No issues detected","")</f>
        <v>No issues detected</v>
      </c>
      <c r="H16" s="15"/>
      <c r="I16" s="15"/>
      <c r="J16" s="15"/>
      <c r="K16" s="15"/>
    </row>
    <row r="17" customFormat="false" ht="15" hidden="false" customHeight="false" outlineLevel="0" collapsed="false">
      <c r="B17" s="12" t="str">
        <f aca="false">Trust_Engine!B7</f>
        <v>pricing_page_redesign</v>
      </c>
      <c r="C17" s="12"/>
      <c r="D17" s="12" t="str">
        <f aca="false">Trust_Engine!C7</f>
        <v>monetization</v>
      </c>
      <c r="E17" s="13" t="n">
        <f aca="false">Trust_Engine!AK7</f>
        <v>94.29375</v>
      </c>
      <c r="F17" s="14" t="str">
        <f aca="false">Trust_Engine!AL7</f>
        <v>TRUST</v>
      </c>
      <c r="G17" s="15" t="str">
        <f aca="false">IF(Trust_Engine!H7=1,"SRM detected — allocation not trustworthy. ","")&amp;IF(Trust_Engine!X7=1,"Guardrail regressed. ","")&amp;IF(Trust_Engine!AE7=1,"Novelty decay detected. ","")&amp;IF(Trust_Engine!AC7=0,"Underpowered sample. ","")&amp;IF(AND(Trust_Engine!H7=0,Trust_Engine!X7=0,Trust_Engine!AE7=0,Trust_Engine!AC7=1),"No issues detected","")</f>
        <v>No issues detected</v>
      </c>
      <c r="H17" s="15"/>
      <c r="I17" s="15"/>
      <c r="J17" s="15"/>
      <c r="K17" s="15"/>
    </row>
    <row r="18" customFormat="false" ht="15" hidden="false" customHeight="false" outlineLevel="0" collapsed="false">
      <c r="B18" s="12" t="str">
        <f aca="false">Trust_Engine!B8</f>
        <v>search_autocomplete_v2</v>
      </c>
      <c r="C18" s="12"/>
      <c r="D18" s="12" t="str">
        <f aca="false">Trust_Engine!C8</f>
        <v>search</v>
      </c>
      <c r="E18" s="13" t="n">
        <f aca="false">Trust_Engine!AK8</f>
        <v>93.8658823529412</v>
      </c>
      <c r="F18" s="14" t="str">
        <f aca="false">Trust_Engine!AL8</f>
        <v>TRUST</v>
      </c>
      <c r="G18" s="15" t="str">
        <f aca="false">IF(Trust_Engine!H8=1,"SRM detected — allocation not trustworthy. ","")&amp;IF(Trust_Engine!X8=1,"Guardrail regressed. ","")&amp;IF(Trust_Engine!AE8=1,"Novelty decay detected. ","")&amp;IF(Trust_Engine!AC8=0,"Underpowered sample. ","")&amp;IF(AND(Trust_Engine!H8=0,Trust_Engine!X8=0,Trust_Engine!AE8=0,Trust_Engine!AC8=1),"No issues detected","")</f>
        <v>No issues detected</v>
      </c>
      <c r="H18" s="15"/>
      <c r="I18" s="15"/>
      <c r="J18" s="15"/>
      <c r="K18" s="15"/>
    </row>
    <row r="19" customFormat="false" ht="15" hidden="false" customHeight="false" outlineLevel="0" collapsed="false">
      <c r="B19" s="12" t="str">
        <f aca="false">Trust_Engine!B9</f>
        <v>signup_form_shortening</v>
      </c>
      <c r="C19" s="12"/>
      <c r="D19" s="12" t="str">
        <f aca="false">Trust_Engine!C9</f>
        <v>growth</v>
      </c>
      <c r="E19" s="13" t="n">
        <f aca="false">Trust_Engine!AK9</f>
        <v>44.0168181818182</v>
      </c>
      <c r="F19" s="14" t="str">
        <f aca="false">Trust_Engine!AL9</f>
        <v>DO NOT TRUST</v>
      </c>
      <c r="G19" s="15" t="str">
        <f aca="false">IF(Trust_Engine!H9=1,"SRM detected — allocation not trustworthy. ","")&amp;IF(Trust_Engine!X9=1,"Guardrail regressed. ","")&amp;IF(Trust_Engine!AE9=1,"Novelty decay detected. ","")&amp;IF(Trust_Engine!AC9=0,"Underpowered sample. ","")&amp;IF(AND(Trust_Engine!H9=0,Trust_Engine!X9=0,Trust_Engine!AE9=0,Trust_Engine!AC9=1),"No issues detected","")</f>
        <v>SRM detected — allocation not trustworthy. Guardrail regressed. </v>
      </c>
      <c r="H19" s="15"/>
      <c r="I19" s="15"/>
      <c r="J19" s="15"/>
      <c r="K19" s="15"/>
    </row>
  </sheetData>
  <mergeCells count="27">
    <mergeCell ref="B2:K2"/>
    <mergeCell ref="B3:K3"/>
    <mergeCell ref="B5:C7"/>
    <mergeCell ref="E5:F7"/>
    <mergeCell ref="H5:I7"/>
    <mergeCell ref="K5:L7"/>
    <mergeCell ref="B8:C8"/>
    <mergeCell ref="E8:F8"/>
    <mergeCell ref="H8:I8"/>
    <mergeCell ref="K8:L8"/>
    <mergeCell ref="G11:K11"/>
    <mergeCell ref="B12:C12"/>
    <mergeCell ref="G12:K12"/>
    <mergeCell ref="B13:C13"/>
    <mergeCell ref="G13:K13"/>
    <mergeCell ref="B14:C14"/>
    <mergeCell ref="G14:K14"/>
    <mergeCell ref="B15:C15"/>
    <mergeCell ref="G15:K15"/>
    <mergeCell ref="B16:C16"/>
    <mergeCell ref="G16:K16"/>
    <mergeCell ref="B17:C17"/>
    <mergeCell ref="G17:K17"/>
    <mergeCell ref="B18:C18"/>
    <mergeCell ref="G18:K18"/>
    <mergeCell ref="B19:C19"/>
    <mergeCell ref="G19:K19"/>
  </mergeCells>
  <conditionalFormatting sqref="F12:F19">
    <cfRule type="cellIs" priority="2" operator="equal" aboveAverage="0" equalAverage="0" bottom="0" percent="0" rank="0" text="" dxfId="0">
      <formula>"TRUST"</formula>
    </cfRule>
    <cfRule type="cellIs" priority="3" operator="equal" aboveAverage="0" equalAverage="0" bottom="0" percent="0" rank="0" text="" dxfId="1">
      <formula>"TRUST WITH CAVEATS"</formula>
    </cfRule>
    <cfRule type="cellIs" priority="4" operator="equal" aboveAverage="0" equalAverage="0" bottom="0" percent="0" rank="0" text="" dxfId="2">
      <formula>"DO NOT TRUST"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6"/>
    <col collapsed="false" customWidth="true" hidden="false" outlineLevel="0" max="12" min="12" style="0" width="22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6" min="15" style="0" width="12"/>
  </cols>
  <sheetData>
    <row r="1" customFormat="false" ht="23.85" hidden="false" customHeight="false" outlineLevel="0" collapsed="false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  <c r="J1" s="16" t="s">
        <v>43</v>
      </c>
      <c r="K1" s="16" t="s">
        <v>44</v>
      </c>
      <c r="L1" s="16" t="s">
        <v>45</v>
      </c>
      <c r="M1" s="16" t="s">
        <v>46</v>
      </c>
      <c r="N1" s="16" t="s">
        <v>47</v>
      </c>
      <c r="O1" s="16" t="s">
        <v>48</v>
      </c>
      <c r="P1" s="16" t="s">
        <v>49</v>
      </c>
    </row>
    <row r="2" customFormat="false" ht="15" hidden="false" customHeight="false" outlineLevel="0" collapsed="false">
      <c r="A2" s="17" t="s">
        <v>50</v>
      </c>
      <c r="B2" s="17" t="s">
        <v>51</v>
      </c>
      <c r="C2" s="17" t="s">
        <v>52</v>
      </c>
      <c r="D2" s="17" t="n">
        <v>20197</v>
      </c>
      <c r="E2" s="17" t="n">
        <v>19803</v>
      </c>
      <c r="F2" s="17" t="n">
        <v>2107</v>
      </c>
      <c r="G2" s="17" t="n">
        <v>3121</v>
      </c>
      <c r="H2" s="17" t="n">
        <v>404</v>
      </c>
      <c r="I2" s="17" t="n">
        <v>395</v>
      </c>
      <c r="J2" s="17" t="n">
        <v>40000</v>
      </c>
      <c r="K2" s="17" t="n">
        <v>30499</v>
      </c>
      <c r="L2" s="17" t="n">
        <v>3841</v>
      </c>
      <c r="M2" s="17" t="n">
        <v>8.158</v>
      </c>
      <c r="N2" s="17" t="n">
        <v>0</v>
      </c>
      <c r="O2" s="17" t="s">
        <v>53</v>
      </c>
      <c r="P2" s="17" t="s">
        <v>54</v>
      </c>
    </row>
    <row r="3" customFormat="false" ht="15" hidden="false" customHeight="false" outlineLevel="0" collapsed="false">
      <c r="A3" s="17" t="s">
        <v>55</v>
      </c>
      <c r="B3" s="17" t="s">
        <v>56</v>
      </c>
      <c r="C3" s="17" t="s">
        <v>52</v>
      </c>
      <c r="D3" s="17" t="n">
        <v>26398</v>
      </c>
      <c r="E3" s="17" t="n">
        <v>33602</v>
      </c>
      <c r="F3" s="17" t="n">
        <v>2676</v>
      </c>
      <c r="G3" s="17" t="n">
        <v>4649</v>
      </c>
      <c r="H3" s="17" t="n">
        <v>542</v>
      </c>
      <c r="I3" s="17" t="n">
        <v>696</v>
      </c>
      <c r="J3" s="17" t="n">
        <v>60000</v>
      </c>
      <c r="K3" s="17" t="n">
        <v>45759</v>
      </c>
      <c r="L3" s="17" t="n">
        <v>3841</v>
      </c>
      <c r="M3" s="17" t="n">
        <v>8.433</v>
      </c>
      <c r="N3" s="17" t="n">
        <v>0</v>
      </c>
      <c r="O3" s="17" t="s">
        <v>57</v>
      </c>
      <c r="P3" s="17" t="s">
        <v>58</v>
      </c>
    </row>
    <row r="4" customFormat="false" ht="15" hidden="false" customHeight="false" outlineLevel="0" collapsed="false">
      <c r="A4" s="17" t="s">
        <v>59</v>
      </c>
      <c r="B4" s="17" t="s">
        <v>60</v>
      </c>
      <c r="C4" s="17" t="s">
        <v>61</v>
      </c>
      <c r="D4" s="17" t="n">
        <v>44900</v>
      </c>
      <c r="E4" s="17" t="n">
        <v>45100</v>
      </c>
      <c r="F4" s="17" t="n">
        <v>4460</v>
      </c>
      <c r="G4" s="17" t="n">
        <v>6698</v>
      </c>
      <c r="H4" s="17" t="n">
        <v>859</v>
      </c>
      <c r="I4" s="17" t="n">
        <v>954</v>
      </c>
      <c r="J4" s="17" t="n">
        <v>90000</v>
      </c>
      <c r="K4" s="17" t="n">
        <v>68605</v>
      </c>
      <c r="L4" s="17" t="n">
        <v>3841</v>
      </c>
      <c r="M4" s="17" t="n">
        <v>4.762</v>
      </c>
      <c r="N4" s="17" t="n">
        <v>0</v>
      </c>
      <c r="O4" s="17" t="s">
        <v>62</v>
      </c>
      <c r="P4" s="17" t="s">
        <v>63</v>
      </c>
    </row>
    <row r="5" customFormat="false" ht="15" hidden="false" customHeight="false" outlineLevel="0" collapsed="false">
      <c r="A5" s="17" t="s">
        <v>64</v>
      </c>
      <c r="B5" s="17" t="s">
        <v>65</v>
      </c>
      <c r="C5" s="17" t="s">
        <v>52</v>
      </c>
      <c r="D5" s="17" t="n">
        <v>34773</v>
      </c>
      <c r="E5" s="17" t="n">
        <v>35227</v>
      </c>
      <c r="F5" s="17" t="n">
        <v>3555</v>
      </c>
      <c r="G5" s="17" t="n">
        <v>5325</v>
      </c>
      <c r="H5" s="17" t="n">
        <v>679</v>
      </c>
      <c r="I5" s="17" t="n">
        <v>1604</v>
      </c>
      <c r="J5" s="17" t="n">
        <v>70000</v>
      </c>
      <c r="K5" s="17" t="n">
        <v>53287</v>
      </c>
      <c r="L5" s="17" t="n">
        <v>3841</v>
      </c>
      <c r="M5" s="17" t="n">
        <v>8.176</v>
      </c>
      <c r="N5" s="17" t="n">
        <v>0</v>
      </c>
      <c r="O5" s="17" t="s">
        <v>54</v>
      </c>
      <c r="P5" s="17" t="s">
        <v>66</v>
      </c>
    </row>
    <row r="6" customFormat="false" ht="15" hidden="false" customHeight="false" outlineLevel="0" collapsed="false">
      <c r="A6" s="17" t="s">
        <v>67</v>
      </c>
      <c r="B6" s="17" t="s">
        <v>68</v>
      </c>
      <c r="C6" s="17" t="s">
        <v>69</v>
      </c>
      <c r="D6" s="17" t="n">
        <v>24865</v>
      </c>
      <c r="E6" s="17" t="n">
        <v>25135</v>
      </c>
      <c r="F6" s="17" t="n">
        <v>2434</v>
      </c>
      <c r="G6" s="17" t="n">
        <v>3334</v>
      </c>
      <c r="H6" s="17" t="n">
        <v>476</v>
      </c>
      <c r="I6" s="17" t="n">
        <v>499</v>
      </c>
      <c r="J6" s="17" t="n">
        <v>50000</v>
      </c>
      <c r="K6" s="17" t="n">
        <v>37868</v>
      </c>
      <c r="L6" s="17" t="n">
        <v>3841</v>
      </c>
      <c r="M6" s="17" t="n">
        <v>7.159</v>
      </c>
      <c r="N6" s="17" t="n">
        <v>0</v>
      </c>
      <c r="O6" s="17" t="s">
        <v>70</v>
      </c>
      <c r="P6" s="17" t="s">
        <v>71</v>
      </c>
    </row>
    <row r="7" customFormat="false" ht="15" hidden="false" customHeight="false" outlineLevel="0" collapsed="false">
      <c r="A7" s="17" t="s">
        <v>72</v>
      </c>
      <c r="B7" s="17" t="s">
        <v>73</v>
      </c>
      <c r="C7" s="17" t="s">
        <v>74</v>
      </c>
      <c r="D7" s="17" t="n">
        <v>3999</v>
      </c>
      <c r="E7" s="17" t="n">
        <v>4001</v>
      </c>
      <c r="F7" s="17" t="n">
        <v>383</v>
      </c>
      <c r="G7" s="17" t="n">
        <v>734</v>
      </c>
      <c r="H7" s="17" t="n">
        <v>71</v>
      </c>
      <c r="I7" s="17" t="n">
        <v>74</v>
      </c>
      <c r="J7" s="17" t="n">
        <v>8000</v>
      </c>
      <c r="K7" s="17" t="n">
        <v>6174</v>
      </c>
      <c r="L7" s="17" t="n">
        <v>3841</v>
      </c>
      <c r="M7" s="17" t="n">
        <v>12.917</v>
      </c>
      <c r="N7" s="17" t="n">
        <v>0</v>
      </c>
      <c r="O7" s="17" t="s">
        <v>75</v>
      </c>
      <c r="P7" s="17" t="s">
        <v>76</v>
      </c>
    </row>
    <row r="8" customFormat="false" ht="15" hidden="false" customHeight="false" outlineLevel="0" collapsed="false">
      <c r="A8" s="17" t="s">
        <v>77</v>
      </c>
      <c r="B8" s="17" t="s">
        <v>78</v>
      </c>
      <c r="C8" s="17" t="s">
        <v>79</v>
      </c>
      <c r="D8" s="17" t="n">
        <v>42619</v>
      </c>
      <c r="E8" s="17" t="n">
        <v>42381</v>
      </c>
      <c r="F8" s="17" t="n">
        <v>4247</v>
      </c>
      <c r="G8" s="17" t="n">
        <v>4285</v>
      </c>
      <c r="H8" s="17" t="n">
        <v>824</v>
      </c>
      <c r="I8" s="17" t="n">
        <v>859</v>
      </c>
      <c r="J8" s="17" t="n">
        <v>85000</v>
      </c>
      <c r="K8" s="17" t="n">
        <v>64144</v>
      </c>
      <c r="L8" s="17" t="n">
        <v>3841</v>
      </c>
      <c r="M8" s="17" t="n">
        <v>58.203</v>
      </c>
      <c r="N8" s="17" t="n">
        <v>0</v>
      </c>
      <c r="O8" s="17" t="s">
        <v>80</v>
      </c>
      <c r="P8" s="17" t="s">
        <v>81</v>
      </c>
    </row>
    <row r="9" customFormat="false" ht="15" hidden="false" customHeight="false" outlineLevel="0" collapsed="false">
      <c r="A9" s="17" t="s">
        <v>82</v>
      </c>
      <c r="B9" s="17" t="s">
        <v>83</v>
      </c>
      <c r="C9" s="17" t="s">
        <v>52</v>
      </c>
      <c r="D9" s="17" t="n">
        <v>25848</v>
      </c>
      <c r="E9" s="17" t="n">
        <v>29152</v>
      </c>
      <c r="F9" s="17" t="n">
        <v>2630</v>
      </c>
      <c r="G9" s="17" t="n">
        <v>3822</v>
      </c>
      <c r="H9" s="17" t="n">
        <v>544</v>
      </c>
      <c r="I9" s="17" t="n">
        <v>1292</v>
      </c>
      <c r="J9" s="17" t="n">
        <v>55000</v>
      </c>
      <c r="K9" s="17" t="n">
        <v>41837</v>
      </c>
      <c r="L9" s="17" t="n">
        <v>3841</v>
      </c>
      <c r="M9" s="17" t="n">
        <v>5.665</v>
      </c>
      <c r="N9" s="17" t="n">
        <v>0</v>
      </c>
      <c r="O9" s="17" t="s">
        <v>84</v>
      </c>
      <c r="P9" s="17" t="s">
        <v>85</v>
      </c>
    </row>
    <row r="11" customFormat="false" ht="15" hidden="false" customHeight="false" outlineLevel="0" collapsed="false">
      <c r="A11" s="5" t="s">
        <v>86</v>
      </c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 t="s">
        <v>87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 t="s">
        <v>88</v>
      </c>
      <c r="B13" s="5"/>
      <c r="C13" s="5"/>
      <c r="D13" s="5"/>
      <c r="E13" s="5"/>
      <c r="F13" s="5"/>
      <c r="G13" s="5"/>
      <c r="H13" s="5"/>
    </row>
  </sheetData>
  <mergeCells count="3"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38" min="4" style="0" width="13"/>
  </cols>
  <sheetData>
    <row r="1" customFormat="false" ht="23.85" hidden="false" customHeight="false" outlineLevel="0" collapsed="false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89</v>
      </c>
      <c r="G1" s="16" t="s">
        <v>90</v>
      </c>
      <c r="H1" s="16" t="s">
        <v>91</v>
      </c>
      <c r="I1" s="16" t="s">
        <v>92</v>
      </c>
      <c r="J1" s="16" t="s">
        <v>93</v>
      </c>
      <c r="K1" s="16" t="s">
        <v>94</v>
      </c>
      <c r="L1" s="16" t="s">
        <v>95</v>
      </c>
      <c r="M1" s="16" t="s">
        <v>96</v>
      </c>
      <c r="N1" s="16" t="s">
        <v>97</v>
      </c>
      <c r="O1" s="16" t="s">
        <v>98</v>
      </c>
      <c r="P1" s="16" t="s">
        <v>99</v>
      </c>
      <c r="Q1" s="16" t="s">
        <v>100</v>
      </c>
      <c r="R1" s="16" t="s">
        <v>101</v>
      </c>
      <c r="S1" s="16" t="s">
        <v>102</v>
      </c>
      <c r="T1" s="16" t="s">
        <v>103</v>
      </c>
      <c r="U1" s="16" t="s">
        <v>104</v>
      </c>
      <c r="V1" s="16" t="s">
        <v>105</v>
      </c>
      <c r="W1" s="16" t="s">
        <v>106</v>
      </c>
      <c r="X1" s="16" t="s">
        <v>107</v>
      </c>
      <c r="Y1" s="16" t="s">
        <v>108</v>
      </c>
      <c r="Z1" s="16" t="s">
        <v>109</v>
      </c>
      <c r="AA1" s="16" t="s">
        <v>110</v>
      </c>
      <c r="AB1" s="16" t="s">
        <v>111</v>
      </c>
      <c r="AC1" s="16" t="s">
        <v>112</v>
      </c>
      <c r="AD1" s="16" t="s">
        <v>46</v>
      </c>
      <c r="AE1" s="16" t="s">
        <v>113</v>
      </c>
      <c r="AF1" s="16" t="s">
        <v>114</v>
      </c>
      <c r="AG1" s="16" t="s">
        <v>115</v>
      </c>
      <c r="AH1" s="16" t="s">
        <v>116</v>
      </c>
      <c r="AI1" s="16" t="s">
        <v>117</v>
      </c>
      <c r="AJ1" s="16" t="s">
        <v>118</v>
      </c>
      <c r="AK1" s="16" t="s">
        <v>119</v>
      </c>
      <c r="AL1" s="16" t="s">
        <v>120</v>
      </c>
    </row>
    <row r="2" customFormat="false" ht="15" hidden="false" customHeight="false" outlineLevel="0" collapsed="false">
      <c r="A2" s="12" t="str">
        <f aca="false">Raw_Inputs!A2</f>
        <v>EXP-001</v>
      </c>
      <c r="B2" s="12" t="str">
        <f aca="false">Raw_Inputs!B2</f>
        <v>checkout_button_color</v>
      </c>
      <c r="C2" s="12" t="str">
        <f aca="false">Raw_Inputs!C2</f>
        <v>growth</v>
      </c>
      <c r="D2" s="12" t="n">
        <f aca="false">Raw_Inputs!D2</f>
        <v>20197</v>
      </c>
      <c r="E2" s="12" t="n">
        <f aca="false">Raw_Inputs!E2</f>
        <v>19803</v>
      </c>
      <c r="F2" s="18" t="n">
        <f aca="false">((D2-((D2+E2)/2))^2/((D2+E2)/2))+((E2-((D2+E2)/2))^2/((D2+E2)/2))</f>
        <v>3.8809</v>
      </c>
      <c r="G2" s="19" t="n">
        <f aca="false">CHIDIST(F2,1)</f>
        <v>0.048838370560445</v>
      </c>
      <c r="H2" s="18" t="n">
        <f aca="false">IF(G2&lt;0.001,1,0)</f>
        <v>0</v>
      </c>
      <c r="I2" s="20" t="n">
        <f aca="false">Raw_Inputs!F2/D2</f>
        <v>0.104322424122394</v>
      </c>
      <c r="J2" s="20" t="n">
        <f aca="false">Raw_Inputs!G2/E2</f>
        <v>0.157602383477251</v>
      </c>
      <c r="K2" s="20" t="n">
        <f aca="false">J2-I2</f>
        <v>0.0532799593548565</v>
      </c>
      <c r="L2" s="21" t="n">
        <f aca="false">IFERROR(K2/I2*100,0)</f>
        <v>51.0723938818243</v>
      </c>
      <c r="M2" s="18" t="n">
        <f aca="false">(Raw_Inputs!F2+Raw_Inputs!G2)/(D2+E2)</f>
        <v>0.1307</v>
      </c>
      <c r="N2" s="18" t="n">
        <f aca="false">SQRT(M2*(1-M2)*(1/D2+1/E2))</f>
        <v>0.00337088318582076</v>
      </c>
      <c r="O2" s="18" t="n">
        <f aca="false">K2/N2</f>
        <v>15.8059346520736</v>
      </c>
      <c r="P2" s="19" t="n">
        <f aca="false">2*(1-NORMSDIST(ABS(O2)))</f>
        <v>0</v>
      </c>
      <c r="Q2" s="18" t="n">
        <f aca="false">IF(P2&lt;0.05,1,0)</f>
        <v>1</v>
      </c>
      <c r="R2" s="18" t="n">
        <f aca="false">SQRT(I2*(1-I2)/D2+J2*(1-J2)/E2)</f>
        <v>0.00336609909334864</v>
      </c>
      <c r="S2" s="20" t="n">
        <f aca="false">K2-1.96*R2</f>
        <v>0.0466824051318932</v>
      </c>
      <c r="T2" s="20" t="n">
        <f aca="false">K2+1.96*R2</f>
        <v>0.0598775135778198</v>
      </c>
      <c r="U2" s="20" t="n">
        <f aca="false">Raw_Inputs!H2/D2</f>
        <v>0.0200029707382285</v>
      </c>
      <c r="V2" s="20" t="n">
        <f aca="false">Raw_Inputs!I2/E2</f>
        <v>0.019946472756653</v>
      </c>
      <c r="W2" s="19" t="n">
        <f aca="false">2*(1-NORMSDIST(ABS((V2-U2)/SQRT(((Raw_Inputs!H2+Raw_Inputs!I2)/(D2+E2))*(1-((Raw_Inputs!H2+Raw_Inputs!I2)/(D2+E2)))*(1/D2+1/E2)))))</f>
        <v>0.967791392225555</v>
      </c>
      <c r="X2" s="18" t="n">
        <f aca="false">IF(AND(W2&lt;0.05,V2&gt;U2),1,0)</f>
        <v>0</v>
      </c>
      <c r="Y2" s="12" t="n">
        <f aca="false">Raw_Inputs!J2</f>
        <v>40000</v>
      </c>
      <c r="Z2" s="12" t="n">
        <f aca="false">Raw_Inputs!K2</f>
        <v>30499</v>
      </c>
      <c r="AA2" s="21" t="n">
        <f aca="false">MIN(Y2,Z2)/MAX(Y2,Z2)*100</f>
        <v>76.2475</v>
      </c>
      <c r="AB2" s="12" t="n">
        <f aca="false">Raw_Inputs!L2</f>
        <v>3841</v>
      </c>
      <c r="AC2" s="18" t="n">
        <f aca="false">IF(MIN(D2,E2)&gt;=AB2,1,0)</f>
        <v>1</v>
      </c>
      <c r="AD2" s="12" t="n">
        <f aca="false">Raw_Inputs!M2</f>
        <v>8.158</v>
      </c>
      <c r="AE2" s="12" t="n">
        <f aca="false">Raw_Inputs!N2</f>
        <v>0</v>
      </c>
      <c r="AF2" s="18" t="n">
        <f aca="false">IF(H2=0,30,0)</f>
        <v>30</v>
      </c>
      <c r="AG2" s="18" t="n">
        <f aca="false">MIN(AA2,100)/100*25</f>
        <v>19.061875</v>
      </c>
      <c r="AH2" s="18" t="n">
        <f aca="false">IF(X2=0,20,0)</f>
        <v>20</v>
      </c>
      <c r="AI2" s="18" t="n">
        <f aca="false">IF(AC2=1,15,0)</f>
        <v>15</v>
      </c>
      <c r="AJ2" s="18" t="n">
        <f aca="false">IF(AE2=0,10,0)</f>
        <v>10</v>
      </c>
      <c r="AK2" s="22" t="n">
        <f aca="false">SUM(AF2:AJ2)</f>
        <v>94.061875</v>
      </c>
      <c r="AL2" s="23" t="str">
        <f aca="false">IF(AK2&gt;=85,"TRUST",IF(AK2&gt;=60,"TRUST WITH CAVEATS","DO NOT TRUST"))</f>
        <v>TRUST</v>
      </c>
    </row>
    <row r="3" customFormat="false" ht="15" hidden="false" customHeight="false" outlineLevel="0" collapsed="false">
      <c r="A3" s="12" t="str">
        <f aca="false">Raw_Inputs!A3</f>
        <v>EXP-002</v>
      </c>
      <c r="B3" s="12" t="str">
        <f aca="false">Raw_Inputs!B3</f>
        <v>onboarding_flow_v2</v>
      </c>
      <c r="C3" s="12" t="str">
        <f aca="false">Raw_Inputs!C3</f>
        <v>growth</v>
      </c>
      <c r="D3" s="12" t="n">
        <f aca="false">Raw_Inputs!D3</f>
        <v>26398</v>
      </c>
      <c r="E3" s="12" t="n">
        <f aca="false">Raw_Inputs!E3</f>
        <v>33602</v>
      </c>
      <c r="F3" s="18" t="n">
        <f aca="false">((D3-((D3+E3)/2))^2/((D3+E3)/2))+((E3-((D3+E3)/2))^2/((D3+E3)/2))</f>
        <v>864.960266666667</v>
      </c>
      <c r="G3" s="19" t="n">
        <f aca="false">CHIDIST(F3,1)</f>
        <v>4.06636059767559E-190</v>
      </c>
      <c r="H3" s="18" t="n">
        <f aca="false">IF(G3&lt;0.001,1,0)</f>
        <v>1</v>
      </c>
      <c r="I3" s="20" t="n">
        <f aca="false">Raw_Inputs!F3/D3</f>
        <v>0.101371316008789</v>
      </c>
      <c r="J3" s="20" t="n">
        <f aca="false">Raw_Inputs!G3/E3</f>
        <v>0.138354859829772</v>
      </c>
      <c r="K3" s="20" t="n">
        <f aca="false">J3-I3</f>
        <v>0.0369835438209835</v>
      </c>
      <c r="L3" s="21" t="n">
        <f aca="false">IFERROR(K3/I3*100,0)</f>
        <v>36.4832432655576</v>
      </c>
      <c r="M3" s="18" t="n">
        <f aca="false">(Raw_Inputs!F3+Raw_Inputs!G3)/(D3+E3)</f>
        <v>0.122083333333333</v>
      </c>
      <c r="N3" s="18" t="n">
        <f aca="false">SQRT(M3*(1-M3)*(1/D3+1/E3))</f>
        <v>0.0026925413740034</v>
      </c>
      <c r="O3" s="18" t="n">
        <f aca="false">K3/N3</f>
        <v>13.7355526559633</v>
      </c>
      <c r="P3" s="19" t="n">
        <f aca="false">2*(1-NORMSDIST(ABS(O3)))</f>
        <v>0</v>
      </c>
      <c r="Q3" s="18" t="n">
        <f aca="false">IF(P3&lt;0.05,1,0)</f>
        <v>1</v>
      </c>
      <c r="R3" s="18" t="n">
        <f aca="false">SQRT(I3*(1-I3)/D3+J3*(1-J3)/E3)</f>
        <v>0.00264549139800163</v>
      </c>
      <c r="S3" s="20" t="n">
        <f aca="false">K3-1.96*R3</f>
        <v>0.0317983806809003</v>
      </c>
      <c r="T3" s="20" t="n">
        <f aca="false">K3+1.96*R3</f>
        <v>0.0421687069610667</v>
      </c>
      <c r="U3" s="20" t="n">
        <f aca="false">Raw_Inputs!H3/D3</f>
        <v>0.0205318584741268</v>
      </c>
      <c r="V3" s="20" t="n">
        <f aca="false">Raw_Inputs!I3/E3</f>
        <v>0.0207130527944765</v>
      </c>
      <c r="W3" s="19" t="n">
        <f aca="false">2*(1-NORMSDIST(ABS((V3-U3)/SQRT(((Raw_Inputs!H3+Raw_Inputs!I3)/(D3+E3))*(1-((Raw_Inputs!H3+Raw_Inputs!I3)/(D3+E3)))*(1/D3+1/E3)))))</f>
        <v>0.876835954032897</v>
      </c>
      <c r="X3" s="18" t="n">
        <f aca="false">IF(AND(W3&lt;0.05,V3&gt;U3),1,0)</f>
        <v>0</v>
      </c>
      <c r="Y3" s="12" t="n">
        <f aca="false">Raw_Inputs!J3</f>
        <v>60000</v>
      </c>
      <c r="Z3" s="12" t="n">
        <f aca="false">Raw_Inputs!K3</f>
        <v>45759</v>
      </c>
      <c r="AA3" s="21" t="n">
        <f aca="false">MIN(Y3,Z3)/MAX(Y3,Z3)*100</f>
        <v>76.265</v>
      </c>
      <c r="AB3" s="12" t="n">
        <f aca="false">Raw_Inputs!L3</f>
        <v>3841</v>
      </c>
      <c r="AC3" s="18" t="n">
        <f aca="false">IF(MIN(D3,E3)&gt;=AB3,1,0)</f>
        <v>1</v>
      </c>
      <c r="AD3" s="12" t="n">
        <f aca="false">Raw_Inputs!M3</f>
        <v>8.433</v>
      </c>
      <c r="AE3" s="12" t="n">
        <f aca="false">Raw_Inputs!N3</f>
        <v>0</v>
      </c>
      <c r="AF3" s="18" t="n">
        <f aca="false">IF(H3=0,30,0)</f>
        <v>0</v>
      </c>
      <c r="AG3" s="18" t="n">
        <f aca="false">MIN(AA3,100)/100*25</f>
        <v>19.06625</v>
      </c>
      <c r="AH3" s="18" t="n">
        <f aca="false">IF(X3=0,20,0)</f>
        <v>20</v>
      </c>
      <c r="AI3" s="18" t="n">
        <f aca="false">IF(AC3=1,15,0)</f>
        <v>15</v>
      </c>
      <c r="AJ3" s="18" t="n">
        <f aca="false">IF(AE3=0,10,0)</f>
        <v>10</v>
      </c>
      <c r="AK3" s="22" t="n">
        <f aca="false">SUM(AF3:AJ3)</f>
        <v>64.06625</v>
      </c>
      <c r="AL3" s="23" t="str">
        <f aca="false">IF(AK3&gt;=85,"TRUST",IF(AK3&gt;=60,"TRUST WITH CAVEATS","DO NOT TRUST"))</f>
        <v>TRUST WITH CAVEATS</v>
      </c>
    </row>
    <row r="4" customFormat="false" ht="15" hidden="false" customHeight="false" outlineLevel="0" collapsed="false">
      <c r="A4" s="12" t="str">
        <f aca="false">Raw_Inputs!A4</f>
        <v>EXP-003</v>
      </c>
      <c r="B4" s="12" t="str">
        <f aca="false">Raw_Inputs!B4</f>
        <v>recommendation_ranker_v3</v>
      </c>
      <c r="C4" s="12" t="str">
        <f aca="false">Raw_Inputs!C4</f>
        <v>ml-platform</v>
      </c>
      <c r="D4" s="12" t="n">
        <f aca="false">Raw_Inputs!D4</f>
        <v>44900</v>
      </c>
      <c r="E4" s="12" t="n">
        <f aca="false">Raw_Inputs!E4</f>
        <v>45100</v>
      </c>
      <c r="F4" s="18" t="n">
        <f aca="false">((D4-((D4+E4)/2))^2/((D4+E4)/2))+((E4-((D4+E4)/2))^2/((D4+E4)/2))</f>
        <v>0.444444444444444</v>
      </c>
      <c r="G4" s="19" t="n">
        <f aca="false">CHIDIST(F4,1)</f>
        <v>0.504985075093846</v>
      </c>
      <c r="H4" s="18" t="n">
        <f aca="false">IF(G4&lt;0.001,1,0)</f>
        <v>0</v>
      </c>
      <c r="I4" s="20" t="n">
        <f aca="false">Raw_Inputs!F4/D4</f>
        <v>0.0993318485523385</v>
      </c>
      <c r="J4" s="20" t="n">
        <f aca="false">Raw_Inputs!G4/E4</f>
        <v>0.148514412416851</v>
      </c>
      <c r="K4" s="20" t="n">
        <f aca="false">J4-I4</f>
        <v>0.0491825638645129</v>
      </c>
      <c r="L4" s="21" t="n">
        <f aca="false">IFERROR(K4/I4*100,0)</f>
        <v>49.5133882851262</v>
      </c>
      <c r="M4" s="18" t="n">
        <f aca="false">(Raw_Inputs!F4+Raw_Inputs!G4)/(D4+E4)</f>
        <v>0.123977777777778</v>
      </c>
      <c r="N4" s="18" t="n">
        <f aca="false">SQRT(M4*(1-M4)*(1/D4+1/E4))</f>
        <v>0.00219704675244847</v>
      </c>
      <c r="O4" s="18" t="n">
        <f aca="false">K4/N4</f>
        <v>22.3857611631168</v>
      </c>
      <c r="P4" s="19" t="n">
        <f aca="false">2*(1-NORMSDIST(ABS(O4)))</f>
        <v>0</v>
      </c>
      <c r="Q4" s="18" t="n">
        <f aca="false">IF(P4&lt;0.05,1,0)</f>
        <v>1</v>
      </c>
      <c r="R4" s="18" t="n">
        <f aca="false">SQRT(I4*(1-I4)/D4+J4*(1-J4)/E4)</f>
        <v>0.00219008763746697</v>
      </c>
      <c r="S4" s="20" t="n">
        <f aca="false">K4-1.96*R4</f>
        <v>0.0448899920950777</v>
      </c>
      <c r="T4" s="20" t="n">
        <f aca="false">K4+1.96*R4</f>
        <v>0.0534751356339482</v>
      </c>
      <c r="U4" s="20" t="n">
        <f aca="false">Raw_Inputs!H4/D4</f>
        <v>0.0191314031180401</v>
      </c>
      <c r="V4" s="20" t="n">
        <f aca="false">Raw_Inputs!I4/E4</f>
        <v>0.0211529933481153</v>
      </c>
      <c r="W4" s="19" t="n">
        <f aca="false">2*(1-NORMSDIST(ABS((V4-U4)/SQRT(((Raw_Inputs!H4+Raw_Inputs!I4)/(D4+E4))*(1-((Raw_Inputs!H4+Raw_Inputs!I4)/(D4+E4)))*(1/D4+1/E4)))))</f>
        <v>0.0308995612475402</v>
      </c>
      <c r="X4" s="18" t="n">
        <f aca="false">IF(AND(W4&lt;0.05,V4&gt;U4),1,0)</f>
        <v>1</v>
      </c>
      <c r="Y4" s="12" t="n">
        <f aca="false">Raw_Inputs!J4</f>
        <v>90000</v>
      </c>
      <c r="Z4" s="12" t="n">
        <f aca="false">Raw_Inputs!K4</f>
        <v>68605</v>
      </c>
      <c r="AA4" s="21" t="n">
        <f aca="false">MIN(Y4,Z4)/MAX(Y4,Z4)*100</f>
        <v>76.2277777777778</v>
      </c>
      <c r="AB4" s="12" t="n">
        <f aca="false">Raw_Inputs!L4</f>
        <v>3841</v>
      </c>
      <c r="AC4" s="18" t="n">
        <f aca="false">IF(MIN(D4,E4)&gt;=AB4,1,0)</f>
        <v>1</v>
      </c>
      <c r="AD4" s="12" t="n">
        <f aca="false">Raw_Inputs!M4</f>
        <v>4.762</v>
      </c>
      <c r="AE4" s="12" t="n">
        <f aca="false">Raw_Inputs!N4</f>
        <v>0</v>
      </c>
      <c r="AF4" s="18" t="n">
        <f aca="false">IF(H4=0,30,0)</f>
        <v>30</v>
      </c>
      <c r="AG4" s="18" t="n">
        <f aca="false">MIN(AA4,100)/100*25</f>
        <v>19.0569444444444</v>
      </c>
      <c r="AH4" s="18" t="n">
        <f aca="false">IF(X4=0,20,0)</f>
        <v>0</v>
      </c>
      <c r="AI4" s="18" t="n">
        <f aca="false">IF(AC4=1,15,0)</f>
        <v>15</v>
      </c>
      <c r="AJ4" s="18" t="n">
        <f aca="false">IF(AE4=0,10,0)</f>
        <v>10</v>
      </c>
      <c r="AK4" s="22" t="n">
        <f aca="false">SUM(AF4:AJ4)</f>
        <v>74.0569444444444</v>
      </c>
      <c r="AL4" s="23" t="str">
        <f aca="false">IF(AK4&gt;=85,"TRUST",IF(AK4&gt;=60,"TRUST WITH CAVEATS","DO NOT TRUST"))</f>
        <v>TRUST WITH CAVEATS</v>
      </c>
    </row>
    <row r="5" customFormat="false" ht="15" hidden="false" customHeight="false" outlineLevel="0" collapsed="false">
      <c r="A5" s="12" t="str">
        <f aca="false">Raw_Inputs!A5</f>
        <v>EXP-004</v>
      </c>
      <c r="B5" s="12" t="str">
        <f aca="false">Raw_Inputs!B5</f>
        <v>notification_frequency_increase</v>
      </c>
      <c r="C5" s="12" t="str">
        <f aca="false">Raw_Inputs!C5</f>
        <v>growth</v>
      </c>
      <c r="D5" s="12" t="n">
        <f aca="false">Raw_Inputs!D5</f>
        <v>34773</v>
      </c>
      <c r="E5" s="12" t="n">
        <f aca="false">Raw_Inputs!E5</f>
        <v>35227</v>
      </c>
      <c r="F5" s="18" t="n">
        <f aca="false">((D5-((D5+E5)/2))^2/((D5+E5)/2))+((E5-((D5+E5)/2))^2/((D5+E5)/2))</f>
        <v>2.94451428571429</v>
      </c>
      <c r="G5" s="19" t="n">
        <f aca="false">CHIDIST(F5,1)</f>
        <v>0.08616960035558</v>
      </c>
      <c r="H5" s="18" t="n">
        <f aca="false">IF(G5&lt;0.001,1,0)</f>
        <v>0</v>
      </c>
      <c r="I5" s="20" t="n">
        <f aca="false">Raw_Inputs!F5/D5</f>
        <v>0.102234492278492</v>
      </c>
      <c r="J5" s="20" t="n">
        <f aca="false">Raw_Inputs!G5/E5</f>
        <v>0.151162460612598</v>
      </c>
      <c r="K5" s="20" t="n">
        <f aca="false">J5-I5</f>
        <v>0.0489279683341064</v>
      </c>
      <c r="L5" s="21" t="n">
        <f aca="false">IFERROR(K5/I5*100,0)</f>
        <v>47.8585722329643</v>
      </c>
      <c r="M5" s="18" t="n">
        <f aca="false">(Raw_Inputs!F5+Raw_Inputs!G5)/(D5+E5)</f>
        <v>0.126857142857143</v>
      </c>
      <c r="N5" s="18" t="n">
        <f aca="false">SQRT(M5*(1-M5)*(1/D5+1/E5))</f>
        <v>0.00251588175519983</v>
      </c>
      <c r="O5" s="18" t="n">
        <f aca="false">K5/N5</f>
        <v>19.4476422562316</v>
      </c>
      <c r="P5" s="19" t="n">
        <f aca="false">2*(1-NORMSDIST(ABS(O5)))</f>
        <v>0</v>
      </c>
      <c r="Q5" s="18" t="n">
        <f aca="false">IF(P5&lt;0.05,1,0)</f>
        <v>1</v>
      </c>
      <c r="R5" s="18" t="n">
        <f aca="false">SQRT(I5*(1-I5)/D5+J5*(1-J5)/E5)</f>
        <v>0.00250637643355731</v>
      </c>
      <c r="S5" s="20" t="n">
        <f aca="false">K5-1.96*R5</f>
        <v>0.044015470524334</v>
      </c>
      <c r="T5" s="20" t="n">
        <f aca="false">K5+1.96*R5</f>
        <v>0.0538404661438787</v>
      </c>
      <c r="U5" s="20" t="n">
        <f aca="false">Raw_Inputs!H5/D5</f>
        <v>0.0195266442354701</v>
      </c>
      <c r="V5" s="20" t="n">
        <f aca="false">Raw_Inputs!I5/E5</f>
        <v>0.0455332557413348</v>
      </c>
      <c r="W5" s="19" t="n">
        <f aca="false">2*(1-NORMSDIST(ABS((V5-U5)/SQRT(((Raw_Inputs!H5+Raw_Inputs!I5)/(D5+E5))*(1-((Raw_Inputs!H5+Raw_Inputs!I5)/(D5+E5)))*(1/D5+1/E5)))))</f>
        <v>0</v>
      </c>
      <c r="X5" s="18" t="n">
        <f aca="false">IF(AND(W5&lt;0.05,V5&gt;U5),1,0)</f>
        <v>1</v>
      </c>
      <c r="Y5" s="12" t="n">
        <f aca="false">Raw_Inputs!J5</f>
        <v>70000</v>
      </c>
      <c r="Z5" s="12" t="n">
        <f aca="false">Raw_Inputs!K5</f>
        <v>53287</v>
      </c>
      <c r="AA5" s="21" t="n">
        <f aca="false">MIN(Y5,Z5)/MAX(Y5,Z5)*100</f>
        <v>76.1242857142857</v>
      </c>
      <c r="AB5" s="12" t="n">
        <f aca="false">Raw_Inputs!L5</f>
        <v>3841</v>
      </c>
      <c r="AC5" s="18" t="n">
        <f aca="false">IF(MIN(D5,E5)&gt;=AB5,1,0)</f>
        <v>1</v>
      </c>
      <c r="AD5" s="12" t="n">
        <f aca="false">Raw_Inputs!M5</f>
        <v>8.176</v>
      </c>
      <c r="AE5" s="12" t="n">
        <f aca="false">Raw_Inputs!N5</f>
        <v>0</v>
      </c>
      <c r="AF5" s="18" t="n">
        <f aca="false">IF(H5=0,30,0)</f>
        <v>30</v>
      </c>
      <c r="AG5" s="18" t="n">
        <f aca="false">MIN(AA5,100)/100*25</f>
        <v>19.0310714285714</v>
      </c>
      <c r="AH5" s="18" t="n">
        <f aca="false">IF(X5=0,20,0)</f>
        <v>0</v>
      </c>
      <c r="AI5" s="18" t="n">
        <f aca="false">IF(AC5=1,15,0)</f>
        <v>15</v>
      </c>
      <c r="AJ5" s="18" t="n">
        <f aca="false">IF(AE5=0,10,0)</f>
        <v>10</v>
      </c>
      <c r="AK5" s="22" t="n">
        <f aca="false">SUM(AF5:AJ5)</f>
        <v>74.0310714285714</v>
      </c>
      <c r="AL5" s="23" t="str">
        <f aca="false">IF(AK5&gt;=85,"TRUST",IF(AK5&gt;=60,"TRUST WITH CAVEATS","DO NOT TRUST"))</f>
        <v>TRUST WITH CAVEATS</v>
      </c>
    </row>
    <row r="6" customFormat="false" ht="15" hidden="false" customHeight="false" outlineLevel="0" collapsed="false">
      <c r="A6" s="12" t="str">
        <f aca="false">Raw_Inputs!A6</f>
        <v>EXP-005</v>
      </c>
      <c r="B6" s="12" t="str">
        <f aca="false">Raw_Inputs!B6</f>
        <v>active_user_definition_change_test</v>
      </c>
      <c r="C6" s="12" t="str">
        <f aca="false">Raw_Inputs!C6</f>
        <v>analytics-eng</v>
      </c>
      <c r="D6" s="12" t="n">
        <f aca="false">Raw_Inputs!D6</f>
        <v>24865</v>
      </c>
      <c r="E6" s="12" t="n">
        <f aca="false">Raw_Inputs!E6</f>
        <v>25135</v>
      </c>
      <c r="F6" s="18" t="n">
        <f aca="false">((D6-((D6+E6)/2))^2/((D6+E6)/2))+((E6-((D6+E6)/2))^2/((D6+E6)/2))</f>
        <v>1.458</v>
      </c>
      <c r="G6" s="19" t="n">
        <f aca="false">CHIDIST(F6,1)</f>
        <v>0.227248609913033</v>
      </c>
      <c r="H6" s="18" t="n">
        <f aca="false">IF(G6&lt;0.001,1,0)</f>
        <v>0</v>
      </c>
      <c r="I6" s="20" t="n">
        <f aca="false">Raw_Inputs!F6/D6</f>
        <v>0.0978885984315303</v>
      </c>
      <c r="J6" s="20" t="n">
        <f aca="false">Raw_Inputs!G6/E6</f>
        <v>0.132643723890989</v>
      </c>
      <c r="K6" s="20" t="n">
        <f aca="false">J6-I6</f>
        <v>0.0347551254594584</v>
      </c>
      <c r="L6" s="21" t="n">
        <f aca="false">IFERROR(K6/I6*100,0)</f>
        <v>35.5047738105765</v>
      </c>
      <c r="M6" s="18" t="n">
        <f aca="false">(Raw_Inputs!F6+Raw_Inputs!G6)/(D6+E6)</f>
        <v>0.11536</v>
      </c>
      <c r="N6" s="18" t="n">
        <f aca="false">SQRT(M6*(1-M6)*(1/D6+1/E6))</f>
        <v>0.00285734207017852</v>
      </c>
      <c r="O6" s="18" t="n">
        <f aca="false">K6/N6</f>
        <v>12.1634458198724</v>
      </c>
      <c r="P6" s="19" t="n">
        <f aca="false">2*(1-NORMSDIST(ABS(O6)))</f>
        <v>0</v>
      </c>
      <c r="Q6" s="18" t="n">
        <f aca="false">IF(P6&lt;0.05,1,0)</f>
        <v>1</v>
      </c>
      <c r="R6" s="18" t="n">
        <f aca="false">SQRT(I6*(1-I6)/D6+J6*(1-J6)/E6)</f>
        <v>0.00285108611614462</v>
      </c>
      <c r="S6" s="20" t="n">
        <f aca="false">K6-1.96*R6</f>
        <v>0.0291669966718149</v>
      </c>
      <c r="T6" s="20" t="n">
        <f aca="false">K6+1.96*R6</f>
        <v>0.0403432542471019</v>
      </c>
      <c r="U6" s="20" t="n">
        <f aca="false">Raw_Inputs!H6/D6</f>
        <v>0.0191433742207923</v>
      </c>
      <c r="V6" s="20" t="n">
        <f aca="false">Raw_Inputs!I6/E6</f>
        <v>0.0198527949074995</v>
      </c>
      <c r="W6" s="19" t="n">
        <f aca="false">2*(1-NORMSDIST(ABS((V6-U6)/SQRT(((Raw_Inputs!H6+Raw_Inputs!I6)/(D6+E6))*(1-((Raw_Inputs!H6+Raw_Inputs!I6)/(D6+E6)))*(1/D6+1/E6)))))</f>
        <v>0.566236477639342</v>
      </c>
      <c r="X6" s="18" t="n">
        <f aca="false">IF(AND(W6&lt;0.05,V6&gt;U6),1,0)</f>
        <v>0</v>
      </c>
      <c r="Y6" s="12" t="n">
        <f aca="false">Raw_Inputs!J6</f>
        <v>50000</v>
      </c>
      <c r="Z6" s="12" t="n">
        <f aca="false">Raw_Inputs!K6</f>
        <v>37868</v>
      </c>
      <c r="AA6" s="21" t="n">
        <f aca="false">MIN(Y6,Z6)/MAX(Y6,Z6)*100</f>
        <v>75.736</v>
      </c>
      <c r="AB6" s="12" t="n">
        <f aca="false">Raw_Inputs!L6</f>
        <v>3841</v>
      </c>
      <c r="AC6" s="18" t="n">
        <f aca="false">IF(MIN(D6,E6)&gt;=AB6,1,0)</f>
        <v>1</v>
      </c>
      <c r="AD6" s="12" t="n">
        <f aca="false">Raw_Inputs!M6</f>
        <v>7.159</v>
      </c>
      <c r="AE6" s="12" t="n">
        <f aca="false">Raw_Inputs!N6</f>
        <v>0</v>
      </c>
      <c r="AF6" s="18" t="n">
        <f aca="false">IF(H6=0,30,0)</f>
        <v>30</v>
      </c>
      <c r="AG6" s="18" t="n">
        <f aca="false">MIN(AA6,100)/100*25</f>
        <v>18.934</v>
      </c>
      <c r="AH6" s="18" t="n">
        <f aca="false">IF(X6=0,20,0)</f>
        <v>20</v>
      </c>
      <c r="AI6" s="18" t="n">
        <f aca="false">IF(AC6=1,15,0)</f>
        <v>15</v>
      </c>
      <c r="AJ6" s="18" t="n">
        <f aca="false">IF(AE6=0,10,0)</f>
        <v>10</v>
      </c>
      <c r="AK6" s="22" t="n">
        <f aca="false">SUM(AF6:AJ6)</f>
        <v>93.934</v>
      </c>
      <c r="AL6" s="23" t="str">
        <f aca="false">IF(AK6&gt;=85,"TRUST",IF(AK6&gt;=60,"TRUST WITH CAVEATS","DO NOT TRUST"))</f>
        <v>TRUST</v>
      </c>
    </row>
    <row r="7" customFormat="false" ht="15" hidden="false" customHeight="false" outlineLevel="0" collapsed="false">
      <c r="A7" s="12" t="str">
        <f aca="false">Raw_Inputs!A7</f>
        <v>EXP-006</v>
      </c>
      <c r="B7" s="12" t="str">
        <f aca="false">Raw_Inputs!B7</f>
        <v>pricing_page_redesign</v>
      </c>
      <c r="C7" s="12" t="str">
        <f aca="false">Raw_Inputs!C7</f>
        <v>monetization</v>
      </c>
      <c r="D7" s="12" t="n">
        <f aca="false">Raw_Inputs!D7</f>
        <v>3999</v>
      </c>
      <c r="E7" s="12" t="n">
        <f aca="false">Raw_Inputs!E7</f>
        <v>4001</v>
      </c>
      <c r="F7" s="18" t="n">
        <f aca="false">((D7-((D7+E7)/2))^2/((D7+E7)/2))+((E7-((D7+E7)/2))^2/((D7+E7)/2))</f>
        <v>0.0005</v>
      </c>
      <c r="G7" s="19" t="n">
        <f aca="false">CHIDIST(F7,1)</f>
        <v>0.982160245497068</v>
      </c>
      <c r="H7" s="18" t="n">
        <f aca="false">IF(G7&lt;0.001,1,0)</f>
        <v>0</v>
      </c>
      <c r="I7" s="20" t="n">
        <f aca="false">Raw_Inputs!F7/D7</f>
        <v>0.0957739434858715</v>
      </c>
      <c r="J7" s="20" t="n">
        <f aca="false">Raw_Inputs!G7/E7</f>
        <v>0.183454136465884</v>
      </c>
      <c r="K7" s="20" t="n">
        <f aca="false">J7-I7</f>
        <v>0.0876801929800121</v>
      </c>
      <c r="L7" s="21" t="n">
        <f aca="false">IFERROR(K7/I7*100,0)</f>
        <v>91.5491101115061</v>
      </c>
      <c r="M7" s="18" t="n">
        <f aca="false">(Raw_Inputs!F7+Raw_Inputs!G7)/(D7+E7)</f>
        <v>0.139625</v>
      </c>
      <c r="N7" s="18" t="n">
        <f aca="false">SQRT(M7*(1-M7)*(1/D7+1/E7))</f>
        <v>0.00775015699463942</v>
      </c>
      <c r="O7" s="18" t="n">
        <f aca="false">K7/N7</f>
        <v>11.3133441091139</v>
      </c>
      <c r="P7" s="19" t="n">
        <f aca="false">2*(1-NORMSDIST(ABS(O7)))</f>
        <v>0</v>
      </c>
      <c r="Q7" s="18" t="n">
        <f aca="false">IF(P7&lt;0.05,1,0)</f>
        <v>1</v>
      </c>
      <c r="R7" s="18" t="n">
        <f aca="false">SQRT(I7*(1-I7)/D7+J7*(1-J7)/E7)</f>
        <v>0.00768739596569004</v>
      </c>
      <c r="S7" s="20" t="n">
        <f aca="false">K7-1.96*R7</f>
        <v>0.0726128968872596</v>
      </c>
      <c r="T7" s="20" t="n">
        <f aca="false">K7+1.96*R7</f>
        <v>0.102747489072765</v>
      </c>
      <c r="U7" s="20" t="n">
        <f aca="false">Raw_Inputs!H7/D7</f>
        <v>0.0177544386096524</v>
      </c>
      <c r="V7" s="20" t="n">
        <f aca="false">Raw_Inputs!I7/E7</f>
        <v>0.018495376155961</v>
      </c>
      <c r="W7" s="19" t="n">
        <f aca="false">2*(1-NORMSDIST(ABS((V7-U7)/SQRT(((Raw_Inputs!H7+Raw_Inputs!I7)/(D7+E7))*(1-((Raw_Inputs!H7+Raw_Inputs!I7)/(D7+E7)))*(1/D7+1/E7)))))</f>
        <v>0.803834718361709</v>
      </c>
      <c r="X7" s="18" t="n">
        <f aca="false">IF(AND(W7&lt;0.05,V7&gt;U7),1,0)</f>
        <v>0</v>
      </c>
      <c r="Y7" s="12" t="n">
        <f aca="false">Raw_Inputs!J7</f>
        <v>8000</v>
      </c>
      <c r="Z7" s="12" t="n">
        <f aca="false">Raw_Inputs!K7</f>
        <v>6174</v>
      </c>
      <c r="AA7" s="21" t="n">
        <f aca="false">MIN(Y7,Z7)/MAX(Y7,Z7)*100</f>
        <v>77.175</v>
      </c>
      <c r="AB7" s="12" t="n">
        <f aca="false">Raw_Inputs!L7</f>
        <v>3841</v>
      </c>
      <c r="AC7" s="18" t="n">
        <f aca="false">IF(MIN(D7,E7)&gt;=AB7,1,0)</f>
        <v>1</v>
      </c>
      <c r="AD7" s="12" t="n">
        <f aca="false">Raw_Inputs!M7</f>
        <v>12.917</v>
      </c>
      <c r="AE7" s="12" t="n">
        <f aca="false">Raw_Inputs!N7</f>
        <v>0</v>
      </c>
      <c r="AF7" s="18" t="n">
        <f aca="false">IF(H7=0,30,0)</f>
        <v>30</v>
      </c>
      <c r="AG7" s="18" t="n">
        <f aca="false">MIN(AA7,100)/100*25</f>
        <v>19.29375</v>
      </c>
      <c r="AH7" s="18" t="n">
        <f aca="false">IF(X7=0,20,0)</f>
        <v>20</v>
      </c>
      <c r="AI7" s="18" t="n">
        <f aca="false">IF(AC7=1,15,0)</f>
        <v>15</v>
      </c>
      <c r="AJ7" s="18" t="n">
        <f aca="false">IF(AE7=0,10,0)</f>
        <v>10</v>
      </c>
      <c r="AK7" s="22" t="n">
        <f aca="false">SUM(AF7:AJ7)</f>
        <v>94.29375</v>
      </c>
      <c r="AL7" s="23" t="str">
        <f aca="false">IF(AK7&gt;=85,"TRUST",IF(AK7&gt;=60,"TRUST WITH CAVEATS","DO NOT TRUST"))</f>
        <v>TRUST</v>
      </c>
    </row>
    <row r="8" customFormat="false" ht="15" hidden="false" customHeight="false" outlineLevel="0" collapsed="false">
      <c r="A8" s="12" t="str">
        <f aca="false">Raw_Inputs!A8</f>
        <v>EXP-007</v>
      </c>
      <c r="B8" s="12" t="str">
        <f aca="false">Raw_Inputs!B8</f>
        <v>search_autocomplete_v2</v>
      </c>
      <c r="C8" s="12" t="str">
        <f aca="false">Raw_Inputs!C8</f>
        <v>search</v>
      </c>
      <c r="D8" s="12" t="n">
        <f aca="false">Raw_Inputs!D8</f>
        <v>42619</v>
      </c>
      <c r="E8" s="12" t="n">
        <f aca="false">Raw_Inputs!E8</f>
        <v>42381</v>
      </c>
      <c r="F8" s="18" t="n">
        <f aca="false">((D8-((D8+E8)/2))^2/((D8+E8)/2))+((E8-((D8+E8)/2))^2/((D8+E8)/2))</f>
        <v>0.6664</v>
      </c>
      <c r="G8" s="19" t="n">
        <f aca="false">CHIDIST(F8,1)</f>
        <v>0.414309553538309</v>
      </c>
      <c r="H8" s="18" t="n">
        <f aca="false">IF(G8&lt;0.001,1,0)</f>
        <v>0</v>
      </c>
      <c r="I8" s="20" t="n">
        <f aca="false">Raw_Inputs!F8/D8</f>
        <v>0.0996503906708276</v>
      </c>
      <c r="J8" s="20" t="n">
        <f aca="false">Raw_Inputs!G8/E8</f>
        <v>0.101106627970081</v>
      </c>
      <c r="K8" s="20" t="n">
        <f aca="false">J8-I8</f>
        <v>0.00145623729925337</v>
      </c>
      <c r="L8" s="21" t="n">
        <f aca="false">IFERROR(K8/I8*100,0)</f>
        <v>1.46134630225758</v>
      </c>
      <c r="M8" s="18" t="n">
        <f aca="false">(Raw_Inputs!F8+Raw_Inputs!G8)/(D8+E8)</f>
        <v>0.100376470588235</v>
      </c>
      <c r="N8" s="18" t="n">
        <f aca="false">SQRT(M8*(1-M8)*(1/D8+1/E8))</f>
        <v>0.00206143003141192</v>
      </c>
      <c r="O8" s="18" t="n">
        <f aca="false">K8/N8</f>
        <v>0.706420919974647</v>
      </c>
      <c r="P8" s="19" t="n">
        <f aca="false">2*(1-NORMSDIST(ABS(O8)))</f>
        <v>0.479926414955165</v>
      </c>
      <c r="Q8" s="18" t="n">
        <f aca="false">IF(P8&lt;0.05,1,0)</f>
        <v>0</v>
      </c>
      <c r="R8" s="18" t="n">
        <f aca="false">SQRT(I8*(1-I8)/D8+J8*(1-J8)/E8)</f>
        <v>0.00206146117750051</v>
      </c>
      <c r="S8" s="20" t="n">
        <f aca="false">K8-1.96*R8</f>
        <v>-0.00258422660864763</v>
      </c>
      <c r="T8" s="20" t="n">
        <f aca="false">K8+1.96*R8</f>
        <v>0.00549670120715437</v>
      </c>
      <c r="U8" s="20" t="n">
        <f aca="false">Raw_Inputs!H8/D8</f>
        <v>0.0193340998146367</v>
      </c>
      <c r="V8" s="20" t="n">
        <f aca="false">Raw_Inputs!I8/E8</f>
        <v>0.0202685165522286</v>
      </c>
      <c r="W8" s="19" t="n">
        <f aca="false">2*(1-NORMSDIST(ABS((V8-U8)/SQRT(((Raw_Inputs!H8+Raw_Inputs!I8)/(D8+E8))*(1-((Raw_Inputs!H8+Raw_Inputs!I8)/(D8+E8)))*(1/D8+1/E8)))))</f>
        <v>0.328197312007563</v>
      </c>
      <c r="X8" s="18" t="n">
        <f aca="false">IF(AND(W8&lt;0.05,V8&gt;U8),1,0)</f>
        <v>0</v>
      </c>
      <c r="Y8" s="12" t="n">
        <f aca="false">Raw_Inputs!J8</f>
        <v>85000</v>
      </c>
      <c r="Z8" s="12" t="n">
        <f aca="false">Raw_Inputs!K8</f>
        <v>64144</v>
      </c>
      <c r="AA8" s="21" t="n">
        <f aca="false">MIN(Y8,Z8)/MAX(Y8,Z8)*100</f>
        <v>75.4635294117647</v>
      </c>
      <c r="AB8" s="12" t="n">
        <f aca="false">Raw_Inputs!L8</f>
        <v>3841</v>
      </c>
      <c r="AC8" s="18" t="n">
        <f aca="false">IF(MIN(D8,E8)&gt;=AB8,1,0)</f>
        <v>1</v>
      </c>
      <c r="AD8" s="12" t="n">
        <f aca="false">Raw_Inputs!M8</f>
        <v>58.203</v>
      </c>
      <c r="AE8" s="12" t="n">
        <f aca="false">Raw_Inputs!N8</f>
        <v>0</v>
      </c>
      <c r="AF8" s="18" t="n">
        <f aca="false">IF(H8=0,30,0)</f>
        <v>30</v>
      </c>
      <c r="AG8" s="18" t="n">
        <f aca="false">MIN(AA8,100)/100*25</f>
        <v>18.8658823529412</v>
      </c>
      <c r="AH8" s="18" t="n">
        <f aca="false">IF(X8=0,20,0)</f>
        <v>20</v>
      </c>
      <c r="AI8" s="18" t="n">
        <f aca="false">IF(AC8=1,15,0)</f>
        <v>15</v>
      </c>
      <c r="AJ8" s="18" t="n">
        <f aca="false">IF(AE8=0,10,0)</f>
        <v>10</v>
      </c>
      <c r="AK8" s="22" t="n">
        <f aca="false">SUM(AF8:AJ8)</f>
        <v>93.8658823529412</v>
      </c>
      <c r="AL8" s="23" t="str">
        <f aca="false">IF(AK8&gt;=85,"TRUST",IF(AK8&gt;=60,"TRUST WITH CAVEATS","DO NOT TRUST"))</f>
        <v>TRUST</v>
      </c>
    </row>
    <row r="9" customFormat="false" ht="15" hidden="false" customHeight="false" outlineLevel="0" collapsed="false">
      <c r="A9" s="12" t="str">
        <f aca="false">Raw_Inputs!A9</f>
        <v>EXP-008</v>
      </c>
      <c r="B9" s="12" t="str">
        <f aca="false">Raw_Inputs!B9</f>
        <v>signup_form_shortening</v>
      </c>
      <c r="C9" s="12" t="str">
        <f aca="false">Raw_Inputs!C9</f>
        <v>growth</v>
      </c>
      <c r="D9" s="12" t="n">
        <f aca="false">Raw_Inputs!D9</f>
        <v>25848</v>
      </c>
      <c r="E9" s="12" t="n">
        <f aca="false">Raw_Inputs!E9</f>
        <v>29152</v>
      </c>
      <c r="F9" s="18" t="n">
        <f aca="false">((D9-((D9+E9)/2))^2/((D9+E9)/2))+((E9-((D9+E9)/2))^2/((D9+E9)/2))</f>
        <v>198.480290909091</v>
      </c>
      <c r="G9" s="19" t="n">
        <f aca="false">CHIDIST(F9,1)</f>
        <v>4.48200786037143E-045</v>
      </c>
      <c r="H9" s="18" t="n">
        <f aca="false">IF(G9&lt;0.001,1,0)</f>
        <v>1</v>
      </c>
      <c r="I9" s="20" t="n">
        <f aca="false">Raw_Inputs!F9/D9</f>
        <v>0.101748684617765</v>
      </c>
      <c r="J9" s="20" t="n">
        <f aca="false">Raw_Inputs!G9/E9</f>
        <v>0.131105927552141</v>
      </c>
      <c r="K9" s="20" t="n">
        <f aca="false">J9-I9</f>
        <v>0.0293572429343751</v>
      </c>
      <c r="L9" s="21" t="n">
        <f aca="false">IFERROR(K9/I9*100,0)</f>
        <v>28.8527002040961</v>
      </c>
      <c r="M9" s="18" t="n">
        <f aca="false">(Raw_Inputs!F9+Raw_Inputs!G9)/(D9+E9)</f>
        <v>0.117309090909091</v>
      </c>
      <c r="N9" s="18" t="n">
        <f aca="false">SQRT(M9*(1-M9)*(1/D9+1/E9))</f>
        <v>0.0027491843064103</v>
      </c>
      <c r="O9" s="18" t="n">
        <f aca="false">K9/N9</f>
        <v>10.6785284878582</v>
      </c>
      <c r="P9" s="19" t="n">
        <f aca="false">2*(1-NORMSDIST(ABS(O9)))</f>
        <v>0</v>
      </c>
      <c r="Q9" s="18" t="n">
        <f aca="false">IF(P9&lt;0.05,1,0)</f>
        <v>1</v>
      </c>
      <c r="R9" s="18" t="n">
        <f aca="false">SQRT(I9*(1-I9)/D9+J9*(1-J9)/E9)</f>
        <v>0.00272829511976373</v>
      </c>
      <c r="S9" s="20" t="n">
        <f aca="false">K9-1.96*R9</f>
        <v>0.0240097844996382</v>
      </c>
      <c r="T9" s="20" t="n">
        <f aca="false">K9+1.96*R9</f>
        <v>0.034704701369112</v>
      </c>
      <c r="U9" s="20" t="n">
        <f aca="false">Raw_Inputs!H9/D9</f>
        <v>0.0210461157536366</v>
      </c>
      <c r="V9" s="20" t="n">
        <f aca="false">Raw_Inputs!I9/E9</f>
        <v>0.0443194291986828</v>
      </c>
      <c r="W9" s="19" t="n">
        <f aca="false">2*(1-NORMSDIST(ABS((V9-U9)/SQRT(((Raw_Inputs!H9+Raw_Inputs!I9)/(D9+E9))*(1-((Raw_Inputs!H9+Raw_Inputs!I9)/(D9+E9)))*(1/D9+1/E9)))))</f>
        <v>0</v>
      </c>
      <c r="X9" s="18" t="n">
        <f aca="false">IF(AND(W9&lt;0.05,V9&gt;U9),1,0)</f>
        <v>1</v>
      </c>
      <c r="Y9" s="12" t="n">
        <f aca="false">Raw_Inputs!J9</f>
        <v>55000</v>
      </c>
      <c r="Z9" s="12" t="n">
        <f aca="false">Raw_Inputs!K9</f>
        <v>41837</v>
      </c>
      <c r="AA9" s="21" t="n">
        <f aca="false">MIN(Y9,Z9)/MAX(Y9,Z9)*100</f>
        <v>76.0672727272727</v>
      </c>
      <c r="AB9" s="12" t="n">
        <f aca="false">Raw_Inputs!L9</f>
        <v>3841</v>
      </c>
      <c r="AC9" s="18" t="n">
        <f aca="false">IF(MIN(D9,E9)&gt;=AB9,1,0)</f>
        <v>1</v>
      </c>
      <c r="AD9" s="12" t="n">
        <f aca="false">Raw_Inputs!M9</f>
        <v>5.665</v>
      </c>
      <c r="AE9" s="12" t="n">
        <f aca="false">Raw_Inputs!N9</f>
        <v>0</v>
      </c>
      <c r="AF9" s="18" t="n">
        <f aca="false">IF(H9=0,30,0)</f>
        <v>0</v>
      </c>
      <c r="AG9" s="18" t="n">
        <f aca="false">MIN(AA9,100)/100*25</f>
        <v>19.0168181818182</v>
      </c>
      <c r="AH9" s="18" t="n">
        <f aca="false">IF(X9=0,20,0)</f>
        <v>0</v>
      </c>
      <c r="AI9" s="18" t="n">
        <f aca="false">IF(AC9=1,15,0)</f>
        <v>15</v>
      </c>
      <c r="AJ9" s="18" t="n">
        <f aca="false">IF(AE9=0,10,0)</f>
        <v>10</v>
      </c>
      <c r="AK9" s="22" t="n">
        <f aca="false">SUM(AF9:AJ9)</f>
        <v>44.0168181818182</v>
      </c>
      <c r="AL9" s="23" t="str">
        <f aca="false">IF(AK9&gt;=85,"TRUST",IF(AK9&gt;=60,"TRUST WITH CAVEATS","DO NOT TRUST"))</f>
        <v>DO NOT TRUST</v>
      </c>
    </row>
  </sheetData>
  <conditionalFormatting sqref="AL2:AL9">
    <cfRule type="cellIs" priority="2" operator="equal" aboveAverage="0" equalAverage="0" bottom="0" percent="0" rank="0" text="" dxfId="0">
      <formula>"TRUST"</formula>
    </cfRule>
    <cfRule type="cellIs" priority="3" operator="equal" aboveAverage="0" equalAverage="0" bottom="0" percent="0" rank="0" text="" dxfId="1">
      <formula>"TRUST WITH CAVEATS"</formula>
    </cfRule>
    <cfRule type="cellIs" priority="4" operator="equal" aboveAverage="0" equalAverage="0" bottom="0" percent="0" rank="0" text="" dxfId="2">
      <formula>"DO NOT TRUST"</formula>
    </cfRule>
  </conditionalFormatting>
  <conditionalFormatting sqref="AK2:AK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3"/>
  </cols>
  <sheetData>
    <row r="1" customFormat="false" ht="15" hidden="false" customHeight="false" outlineLevel="0" collapsed="false">
      <c r="A1" s="11" t="s">
        <v>121</v>
      </c>
      <c r="B1" s="11" t="s">
        <v>50</v>
      </c>
      <c r="C1" s="11" t="s">
        <v>55</v>
      </c>
      <c r="D1" s="11" t="s">
        <v>59</v>
      </c>
      <c r="E1" s="11" t="s">
        <v>64</v>
      </c>
      <c r="F1" s="11" t="s">
        <v>67</v>
      </c>
      <c r="G1" s="11" t="s">
        <v>72</v>
      </c>
      <c r="H1" s="11" t="s">
        <v>77</v>
      </c>
      <c r="I1" s="11" t="s">
        <v>82</v>
      </c>
    </row>
    <row r="2" customFormat="false" ht="15" hidden="false" customHeight="false" outlineLevel="0" collapsed="false">
      <c r="A2" s="17" t="n">
        <v>0</v>
      </c>
      <c r="B2" s="24" t="n">
        <v>0.0011217788377872</v>
      </c>
      <c r="C2" s="24" t="n">
        <v>0.0006438190764452</v>
      </c>
      <c r="D2" s="24" t="n">
        <v>0.0003949649134069</v>
      </c>
      <c r="E2" s="24" t="n">
        <v>0.0003840798295914</v>
      </c>
      <c r="F2" s="24" t="n">
        <v>0.0004268364465507</v>
      </c>
      <c r="G2" s="24" t="n">
        <v>0.0009990000624375</v>
      </c>
      <c r="H2" s="24" t="n">
        <v>0.0001700436860836</v>
      </c>
      <c r="I2" s="24" t="n">
        <v>0.0003917714844632</v>
      </c>
    </row>
    <row r="3" customFormat="false" ht="15" hidden="false" customHeight="false" outlineLevel="0" collapsed="false">
      <c r="A3" s="17" t="n">
        <v>1</v>
      </c>
      <c r="B3" s="24" t="n">
        <v>0.0023196675599458</v>
      </c>
      <c r="C3" s="24" t="n">
        <v>0.000597534053572</v>
      </c>
      <c r="D3" s="24" t="n">
        <v>0.0016070696645415</v>
      </c>
      <c r="E3" s="24" t="n">
        <v>0.0003499820687559</v>
      </c>
      <c r="F3" s="24" t="n">
        <v>0.0014863473418884</v>
      </c>
      <c r="G3" s="24" t="n">
        <v>0.0017470626091914</v>
      </c>
      <c r="H3" s="24" t="n">
        <v>6.22122524499415E-005</v>
      </c>
      <c r="I3" s="24" t="n">
        <v>0.0016439517557851</v>
      </c>
    </row>
    <row r="4" customFormat="false" ht="15" hidden="false" customHeight="false" outlineLevel="0" collapsed="false">
      <c r="A4" s="17" t="n">
        <v>2</v>
      </c>
      <c r="B4" s="24" t="n">
        <v>0.0039897645969356</v>
      </c>
      <c r="C4" s="24" t="n">
        <v>0.0009703913887959</v>
      </c>
      <c r="D4" s="24" t="n">
        <v>0.0039712788705129</v>
      </c>
      <c r="E4" s="24" t="n">
        <v>0.001985547194499</v>
      </c>
      <c r="F4" s="24" t="n">
        <v>0.0034496845928027</v>
      </c>
      <c r="G4" s="24" t="n">
        <v>0.0067438129214883</v>
      </c>
      <c r="H4" s="24" t="n">
        <v>-0.0004868179342996</v>
      </c>
      <c r="I4" s="24" t="n">
        <v>0.0041367081079593</v>
      </c>
    </row>
    <row r="5" customFormat="false" ht="15" hidden="false" customHeight="false" outlineLevel="0" collapsed="false">
      <c r="A5" s="17" t="n">
        <v>3</v>
      </c>
      <c r="B5" s="24" t="n">
        <v>0.0069984065028949</v>
      </c>
      <c r="C5" s="24" t="n">
        <v>0.0035536764826344</v>
      </c>
      <c r="D5" s="24" t="n">
        <v>0.0065756374105551</v>
      </c>
      <c r="E5" s="24" t="n">
        <v>0.0044638367486071</v>
      </c>
      <c r="F5" s="24" t="n">
        <v>0.0051622145301757</v>
      </c>
      <c r="G5" s="24" t="n">
        <v>0.0084905005306562</v>
      </c>
      <c r="H5" s="24" t="n">
        <v>-0.0010532506104259</v>
      </c>
      <c r="I5" s="24" t="n">
        <v>0.0064752232166365</v>
      </c>
    </row>
    <row r="6" customFormat="false" ht="15" hidden="false" customHeight="false" outlineLevel="0" collapsed="false">
      <c r="A6" s="17" t="n">
        <v>4</v>
      </c>
      <c r="B6" s="24" t="n">
        <v>0.0101297153103036</v>
      </c>
      <c r="C6" s="24" t="n">
        <v>0.0040128064128602</v>
      </c>
      <c r="D6" s="24" t="n">
        <v>0.0095963436856478</v>
      </c>
      <c r="E6" s="24" t="n">
        <v>0.0071540290938491</v>
      </c>
      <c r="F6" s="24" t="n">
        <v>0.007669583645059</v>
      </c>
      <c r="G6" s="24" t="n">
        <v>0.0162356885147305</v>
      </c>
      <c r="H6" s="24" t="n">
        <v>-0.0008382653955301</v>
      </c>
      <c r="I6" s="24" t="n">
        <v>0.0091735319308251</v>
      </c>
    </row>
    <row r="7" customFormat="false" ht="15" hidden="false" customHeight="false" outlineLevel="0" collapsed="false">
      <c r="A7" s="17" t="n">
        <v>5</v>
      </c>
      <c r="B7" s="24" t="n">
        <v>0.0115014959038863</v>
      </c>
      <c r="C7" s="24" t="n">
        <v>0.0055758436084633</v>
      </c>
      <c r="D7" s="24" t="n">
        <v>0.0128399646418007</v>
      </c>
      <c r="E7" s="24" t="n">
        <v>0.0094560647033127</v>
      </c>
      <c r="F7" s="24" t="n">
        <v>0.0096143443542813</v>
      </c>
      <c r="G7" s="24" t="n">
        <v>0.0197303137331446</v>
      </c>
      <c r="H7" s="24" t="n">
        <v>-0.001047735273068</v>
      </c>
      <c r="I7" s="24" t="n">
        <v>0.0122563926880137</v>
      </c>
    </row>
    <row r="8" customFormat="false" ht="15" hidden="false" customHeight="false" outlineLevel="0" collapsed="false">
      <c r="A8" s="17" t="n">
        <v>6</v>
      </c>
      <c r="B8" s="24" t="n">
        <v>0.0147705055713768</v>
      </c>
      <c r="C8" s="24" t="n">
        <v>0.0082347229132269</v>
      </c>
      <c r="D8" s="24" t="n">
        <v>0.0164409206959046</v>
      </c>
      <c r="E8" s="24" t="n">
        <v>0.0119276829563878</v>
      </c>
      <c r="F8" s="24" t="n">
        <v>0.011271968690607</v>
      </c>
      <c r="G8" s="24" t="n">
        <v>0.029224689326543</v>
      </c>
      <c r="H8" s="24" t="n">
        <v>-0.0019387069641684</v>
      </c>
      <c r="I8" s="24" t="n">
        <v>0.0154006399312913</v>
      </c>
    </row>
    <row r="9" customFormat="false" ht="15" hidden="false" customHeight="false" outlineLevel="0" collapsed="false">
      <c r="A9" s="17" t="n">
        <v>7</v>
      </c>
      <c r="B9" s="24" t="n">
        <v>0.016790871592339</v>
      </c>
      <c r="C9" s="24" t="n">
        <v>0.0102821565027307</v>
      </c>
      <c r="D9" s="24" t="n">
        <v>0.0192848359744986</v>
      </c>
      <c r="E9" s="24" t="n">
        <v>0.0141614544698672</v>
      </c>
      <c r="F9" s="24" t="n">
        <v>0.0129352091906999</v>
      </c>
      <c r="G9" s="24" t="n">
        <v>0.0359695022480938</v>
      </c>
      <c r="H9" s="24" t="n">
        <v>-0.0023550019926273</v>
      </c>
      <c r="I9" s="24" t="n">
        <v>0.0166829826043735</v>
      </c>
    </row>
    <row r="10" customFormat="false" ht="15" hidden="false" customHeight="false" outlineLevel="0" collapsed="false">
      <c r="A10" s="17" t="n">
        <v>8</v>
      </c>
      <c r="B10" s="24" t="n">
        <v>0.0189151876987985</v>
      </c>
      <c r="C10" s="24" t="n">
        <v>0.0109983928806491</v>
      </c>
      <c r="D10" s="24" t="n">
        <v>0.0219740344396762</v>
      </c>
      <c r="E10" s="24" t="n">
        <v>0.0173095501582123</v>
      </c>
      <c r="F10" s="24" t="n">
        <v>0.0135917243346816</v>
      </c>
      <c r="G10" s="24" t="n">
        <v>0.0407149400446837</v>
      </c>
      <c r="H10" s="24" t="n">
        <v>-0.0023300982679704</v>
      </c>
      <c r="I10" s="24" t="n">
        <v>0.0175624592101557</v>
      </c>
    </row>
    <row r="11" customFormat="false" ht="15" hidden="false" customHeight="false" outlineLevel="0" collapsed="false">
      <c r="A11" s="17" t="n">
        <v>9</v>
      </c>
      <c r="B11" s="24" t="n">
        <v>0.0211355731261436</v>
      </c>
      <c r="C11" s="24" t="n">
        <v>0.0137330918689746</v>
      </c>
      <c r="D11" s="24" t="n">
        <v>0.0251525192717001</v>
      </c>
      <c r="E11" s="24" t="n">
        <v>0.0190334618573518</v>
      </c>
      <c r="F11" s="24" t="n">
        <v>0.016095637348785</v>
      </c>
      <c r="G11" s="24" t="n">
        <v>0.0467098154193634</v>
      </c>
      <c r="H11" s="24" t="n">
        <v>-0.0020216534968222</v>
      </c>
      <c r="I11" s="24" t="n">
        <v>0.0193936493036551</v>
      </c>
    </row>
    <row r="12" customFormat="false" ht="15" hidden="false" customHeight="false" outlineLevel="0" collapsed="false">
      <c r="A12" s="17" t="n">
        <v>10</v>
      </c>
      <c r="B12" s="24" t="n">
        <v>0.0237986140010269</v>
      </c>
      <c r="C12" s="24" t="n">
        <v>0.0164000926981142</v>
      </c>
      <c r="D12" s="24" t="n">
        <v>0.027931891021684</v>
      </c>
      <c r="E12" s="24" t="n">
        <v>0.0218360915852761</v>
      </c>
      <c r="F12" s="24" t="n">
        <v>0.0166375491509332</v>
      </c>
      <c r="G12" s="24" t="n">
        <v>0.0539552533722033</v>
      </c>
      <c r="H12" s="24" t="n">
        <v>-0.0020651644261832</v>
      </c>
      <c r="I12" s="24" t="n">
        <v>0.0197235034607454</v>
      </c>
    </row>
    <row r="13" customFormat="false" ht="15" hidden="false" customHeight="false" outlineLevel="0" collapsed="false">
      <c r="A13" s="17" t="n">
        <v>11</v>
      </c>
      <c r="B13" s="24" t="n">
        <v>0.0259278555853685</v>
      </c>
      <c r="C13" s="24" t="n">
        <v>0.018815495376077</v>
      </c>
      <c r="D13" s="24" t="n">
        <v>0.0291796502698778</v>
      </c>
      <c r="E13" s="24" t="n">
        <v>0.0239618732500952</v>
      </c>
      <c r="F13" s="24" t="n">
        <v>0.0196988864195279</v>
      </c>
      <c r="G13" s="24" t="n">
        <v>0.0611993163249572</v>
      </c>
      <c r="H13" s="24" t="n">
        <v>-0.0015437015143845</v>
      </c>
      <c r="I13" s="24" t="n">
        <v>0.0206540469980543</v>
      </c>
    </row>
    <row r="14" customFormat="false" ht="15" hidden="false" customHeight="false" outlineLevel="0" collapsed="false">
      <c r="A14" s="17" t="n">
        <v>12</v>
      </c>
      <c r="B14" s="24" t="n">
        <v>0.0283334839854499</v>
      </c>
      <c r="C14" s="24" t="n">
        <v>0.0204028971448079</v>
      </c>
      <c r="D14" s="24" t="n">
        <v>0.0313800561978083</v>
      </c>
      <c r="E14" s="24" t="n">
        <v>0.0267335212666264</v>
      </c>
      <c r="F14" s="24" t="n">
        <v>0.0215191074971746</v>
      </c>
      <c r="G14" s="24" t="n">
        <v>0.0666940666683791</v>
      </c>
      <c r="H14" s="24" t="n">
        <v>-0.0010248739173644</v>
      </c>
      <c r="I14" s="24" t="n">
        <v>0.0222079786888882</v>
      </c>
    </row>
    <row r="15" customFormat="false" ht="15" hidden="false" customHeight="false" outlineLevel="0" collapsed="false">
      <c r="A15" s="17" t="n">
        <v>13</v>
      </c>
      <c r="B15" s="24" t="n">
        <v>0.0295993443023825</v>
      </c>
      <c r="C15" s="24" t="n">
        <v>0.0215032892917782</v>
      </c>
      <c r="D15" s="24" t="n">
        <v>0.0333818932439172</v>
      </c>
      <c r="E15" s="24" t="n">
        <v>0.0290598672864501</v>
      </c>
      <c r="F15" s="24" t="n">
        <v>0.0236960989782462</v>
      </c>
      <c r="G15" s="24" t="n">
        <v>0.0699398793712424</v>
      </c>
      <c r="H15" s="24" t="n">
        <v>-0.0007173515063887</v>
      </c>
      <c r="I15" s="24" t="n">
        <v>0.0220101341423184</v>
      </c>
    </row>
    <row r="16" customFormat="false" ht="15" hidden="false" customHeight="false" outlineLevel="0" collapsed="false">
      <c r="A16" s="17" t="n">
        <v>14</v>
      </c>
      <c r="B16" s="24" t="n">
        <v>0.0315780787841488</v>
      </c>
      <c r="C16" s="24" t="n">
        <v>0.0226307719760546</v>
      </c>
      <c r="D16" s="24" t="n">
        <v>0.0352960261532155</v>
      </c>
      <c r="E16" s="24" t="n">
        <v>0.0311483665666782</v>
      </c>
      <c r="F16" s="24" t="n">
        <v>0.0246704633907124</v>
      </c>
      <c r="G16" s="24" t="n">
        <v>0.0779363798710237</v>
      </c>
      <c r="H16" s="24" t="n">
        <v>-0.0006664805193249</v>
      </c>
      <c r="I16" s="24" t="n">
        <v>0.021516717168783</v>
      </c>
    </row>
    <row r="17" customFormat="false" ht="15" hidden="false" customHeight="false" outlineLevel="0" collapsed="false">
      <c r="A17" s="17" t="n">
        <v>15</v>
      </c>
      <c r="B17" s="24" t="n">
        <v>0.0340440555393785</v>
      </c>
      <c r="C17" s="24" t="n">
        <v>0.0247755511217514</v>
      </c>
      <c r="D17" s="24" t="n">
        <v>0.0365220075160865</v>
      </c>
      <c r="E17" s="24" t="n">
        <v>0.0339270565120775</v>
      </c>
      <c r="F17" s="24" t="n">
        <v>0.0246480387368095</v>
      </c>
      <c r="G17" s="24" t="n">
        <v>0.0806831925426995</v>
      </c>
      <c r="H17" s="24" t="n">
        <v>-7.56805933358473E-005</v>
      </c>
      <c r="I17" s="24" t="n">
        <v>0.0225896323384773</v>
      </c>
    </row>
    <row r="18" customFormat="false" ht="15" hidden="false" customHeight="false" outlineLevel="0" collapsed="false">
      <c r="A18" s="17" t="n">
        <v>16</v>
      </c>
      <c r="B18" s="24" t="n">
        <v>0.0363119830793783</v>
      </c>
      <c r="C18" s="24" t="n">
        <v>0.0267743119331586</v>
      </c>
      <c r="D18" s="24" t="n">
        <v>0.0382372752458036</v>
      </c>
      <c r="E18" s="24" t="n">
        <v>0.037102427633464</v>
      </c>
      <c r="F18" s="24" t="n">
        <v>0.0250692990207594</v>
      </c>
      <c r="G18" s="24" t="n">
        <v>0.0864311304019456</v>
      </c>
      <c r="H18" s="24" t="n">
        <v>0.0003047365067812</v>
      </c>
      <c r="I18" s="24" t="n">
        <v>0.0237662314277745</v>
      </c>
    </row>
    <row r="19" customFormat="false" ht="15" hidden="false" customHeight="false" outlineLevel="0" collapsed="false">
      <c r="A19" s="17" t="n">
        <v>17</v>
      </c>
      <c r="B19" s="24" t="n">
        <v>0.0386897712783338</v>
      </c>
      <c r="C19" s="24" t="n">
        <v>0.0281966699865107</v>
      </c>
      <c r="D19" s="24" t="n">
        <v>0.0391729341873293</v>
      </c>
      <c r="E19" s="24" t="n">
        <v>0.0390280155711137</v>
      </c>
      <c r="F19" s="24" t="n">
        <v>0.0282495597571625</v>
      </c>
      <c r="G19" s="24" t="n">
        <v>0.087680192980012</v>
      </c>
      <c r="H19" s="24" t="n">
        <v>0.000521698207761</v>
      </c>
      <c r="I19" s="24" t="n">
        <v>0.0247669309491849</v>
      </c>
    </row>
    <row r="20" customFormat="false" ht="15" hidden="false" customHeight="false" outlineLevel="0" collapsed="false">
      <c r="A20" s="17" t="n">
        <v>18</v>
      </c>
      <c r="B20" s="24" t="n">
        <v>0.0411239674501319</v>
      </c>
      <c r="C20" s="24" t="n">
        <v>0.0304632156296874</v>
      </c>
      <c r="D20" s="24" t="n">
        <v>0.040310421286031</v>
      </c>
      <c r="E20" s="24" t="n">
        <v>0.0412949925629973</v>
      </c>
      <c r="F20" s="24" t="n">
        <v>0.0287888794837257</v>
      </c>
      <c r="G20" s="24"/>
      <c r="H20" s="24" t="n">
        <v>0.0009034329652673</v>
      </c>
      <c r="I20" s="24" t="n">
        <v>0.0256384130852291</v>
      </c>
    </row>
    <row r="21" customFormat="false" ht="15" hidden="false" customHeight="false" outlineLevel="0" collapsed="false">
      <c r="A21" s="17" t="n">
        <v>19</v>
      </c>
      <c r="B21" s="24" t="n">
        <v>0.0441037840593889</v>
      </c>
      <c r="C21" s="24" t="n">
        <v>0.0325025276948152</v>
      </c>
      <c r="D21" s="24" t="n">
        <v>0.0416706255339532</v>
      </c>
      <c r="E21" s="24" t="n">
        <v>0.0426741795573864</v>
      </c>
      <c r="F21" s="24" t="n">
        <v>0.0289338037097161</v>
      </c>
      <c r="G21" s="24"/>
      <c r="H21" s="24" t="n">
        <v>0.0017065922032122</v>
      </c>
      <c r="I21" s="24" t="n">
        <v>0.0266873448457095</v>
      </c>
    </row>
    <row r="22" customFormat="false" ht="15" hidden="false" customHeight="false" outlineLevel="0" collapsed="false">
      <c r="A22" s="17" t="n">
        <v>20</v>
      </c>
      <c r="B22" s="24" t="n">
        <v>0.0464736914937329</v>
      </c>
      <c r="C22" s="24" t="n">
        <v>0.0339006339113578</v>
      </c>
      <c r="D22" s="24" t="n">
        <v>0.0424306786700181</v>
      </c>
      <c r="E22" s="24" t="n">
        <v>0.0446303785785941</v>
      </c>
      <c r="F22" s="24" t="n">
        <v>0.0316318903859236</v>
      </c>
      <c r="G22" s="24"/>
      <c r="H22" s="24" t="n">
        <v>0.0013790131644043</v>
      </c>
      <c r="I22" s="24" t="n">
        <v>0.0276238231885741</v>
      </c>
    </row>
    <row r="23" customFormat="false" ht="15" hidden="false" customHeight="false" outlineLevel="0" collapsed="false">
      <c r="A23" s="17" t="n">
        <v>21</v>
      </c>
      <c r="B23" s="24" t="n">
        <v>0.0489239067197397</v>
      </c>
      <c r="C23" s="24" t="n">
        <v>0.035144600269235</v>
      </c>
      <c r="D23" s="24" t="n">
        <v>0.0435672768754413</v>
      </c>
      <c r="E23" s="24" t="n">
        <v>0.0464826646573282</v>
      </c>
      <c r="F23" s="24" t="n">
        <v>0.0326667765632045</v>
      </c>
      <c r="G23" s="24"/>
      <c r="H23" s="24" t="n">
        <v>0.0012358496890615</v>
      </c>
      <c r="I23" s="24" t="n">
        <v>0.028077225346117</v>
      </c>
    </row>
    <row r="24" customFormat="false" ht="15" hidden="false" customHeight="false" outlineLevel="0" collapsed="false">
      <c r="A24" s="17" t="n">
        <v>22</v>
      </c>
      <c r="B24" s="24" t="n">
        <v>0.0512970269657987</v>
      </c>
      <c r="C24" s="24" t="n">
        <v>0.0361777452022928</v>
      </c>
      <c r="D24" s="24" t="n">
        <v>0.0437949817036133</v>
      </c>
      <c r="E24" s="24" t="n">
        <v>0.0471504666256283</v>
      </c>
      <c r="F24" s="24" t="n">
        <v>0.0338707396707688</v>
      </c>
      <c r="G24" s="24"/>
      <c r="H24" s="24" t="n">
        <v>0.0017693126949409</v>
      </c>
      <c r="I24" s="24" t="n">
        <v>0.0284811106286825</v>
      </c>
    </row>
    <row r="25" customFormat="false" ht="15" hidden="false" customHeight="false" outlineLevel="0" collapsed="false">
      <c r="A25" s="17" t="n">
        <v>23</v>
      </c>
      <c r="B25" s="24" t="n">
        <v>0.0525532938519527</v>
      </c>
      <c r="C25" s="24" t="n">
        <v>0.0364182140241193</v>
      </c>
      <c r="D25" s="24" t="n">
        <v>0.0450886671045289</v>
      </c>
      <c r="E25" s="24" t="n">
        <v>0.0482869201442515</v>
      </c>
      <c r="F25" s="24" t="n">
        <v>0.0346478663317822</v>
      </c>
      <c r="G25" s="24"/>
      <c r="H25" s="24" t="n">
        <v>0.0015209625125813</v>
      </c>
      <c r="I25" s="24" t="n">
        <v>0.0293691125454867</v>
      </c>
    </row>
    <row r="26" customFormat="false" ht="15" hidden="false" customHeight="false" outlineLevel="0" collapsed="false">
      <c r="A26" s="17" t="n">
        <v>24</v>
      </c>
      <c r="B26" s="24" t="n">
        <v>0.0532799593548565</v>
      </c>
      <c r="C26" s="24" t="n">
        <v>0.0369835438209834</v>
      </c>
      <c r="D26" s="24" t="n">
        <v>0.0461140055012617</v>
      </c>
      <c r="E26" s="24" t="n">
        <v>0.0488995810175593</v>
      </c>
      <c r="F26" s="24" t="n">
        <v>0.0347953426321911</v>
      </c>
      <c r="G26" s="24"/>
      <c r="H26" s="24" t="n">
        <v>0.0014797010126206</v>
      </c>
      <c r="I26" s="24" t="n">
        <v>0.0293273247196053</v>
      </c>
    </row>
    <row r="27" customFormat="false" ht="15" hidden="false" customHeight="false" outlineLevel="0" collapsed="false">
      <c r="A27" s="17" t="n">
        <v>25</v>
      </c>
      <c r="B27" s="24"/>
      <c r="C27" s="24" t="n">
        <v>0.0369835438209834</v>
      </c>
      <c r="D27" s="24" t="n">
        <v>0.0463864512911175</v>
      </c>
      <c r="E27" s="24" t="n">
        <v>0.0489279683341063</v>
      </c>
      <c r="F27" s="24" t="n">
        <v>0.0347551254594584</v>
      </c>
      <c r="G27" s="24"/>
      <c r="H27" s="24" t="n">
        <v>0.0014562372992533</v>
      </c>
      <c r="I27" s="24" t="n">
        <v>0.0293572429343751</v>
      </c>
    </row>
    <row r="28" customFormat="false" ht="15" hidden="false" customHeight="false" outlineLevel="0" collapsed="false">
      <c r="A28" s="17" t="n">
        <v>26</v>
      </c>
      <c r="B28" s="24"/>
      <c r="C28" s="24"/>
      <c r="D28" s="24" t="n">
        <v>0.0467909471157882</v>
      </c>
      <c r="E28" s="24"/>
      <c r="F28" s="24"/>
      <c r="G28" s="24"/>
      <c r="H28" s="24"/>
      <c r="I28" s="24"/>
    </row>
    <row r="29" customFormat="false" ht="15" hidden="false" customHeight="false" outlineLevel="0" collapsed="false">
      <c r="A29" s="17" t="n">
        <v>27</v>
      </c>
      <c r="B29" s="24"/>
      <c r="C29" s="24"/>
      <c r="D29" s="24" t="n">
        <v>0.0476398895797016</v>
      </c>
      <c r="E29" s="24"/>
      <c r="F29" s="24"/>
      <c r="G29" s="24"/>
      <c r="H29" s="24"/>
      <c r="I29" s="24"/>
    </row>
    <row r="30" customFormat="false" ht="15" hidden="false" customHeight="false" outlineLevel="0" collapsed="false">
      <c r="A30" s="17" t="n">
        <v>28</v>
      </c>
      <c r="B30" s="24"/>
      <c r="C30" s="24"/>
      <c r="D30" s="24" t="n">
        <v>0.048447745420965</v>
      </c>
      <c r="E30" s="24"/>
      <c r="F30" s="24"/>
      <c r="G30" s="24"/>
      <c r="H30" s="24"/>
      <c r="I30" s="24"/>
    </row>
    <row r="31" customFormat="false" ht="15" hidden="false" customHeight="false" outlineLevel="0" collapsed="false">
      <c r="A31" s="17" t="n">
        <v>29</v>
      </c>
      <c r="B31" s="24"/>
      <c r="C31" s="24"/>
      <c r="D31" s="24" t="n">
        <v>0.0485472520851954</v>
      </c>
      <c r="E31" s="24"/>
      <c r="F31" s="24"/>
      <c r="G31" s="24"/>
      <c r="H31" s="24"/>
      <c r="I31" s="24"/>
    </row>
    <row r="32" customFormat="false" ht="15" hidden="false" customHeight="false" outlineLevel="0" collapsed="false">
      <c r="A32" s="17" t="n">
        <v>30</v>
      </c>
      <c r="B32" s="24"/>
      <c r="C32" s="24"/>
      <c r="D32" s="24" t="n">
        <v>0.0491852305443483</v>
      </c>
      <c r="E32" s="24"/>
      <c r="F32" s="24"/>
      <c r="G32" s="24"/>
      <c r="H32" s="24"/>
      <c r="I32" s="24"/>
    </row>
    <row r="33" customFormat="false" ht="15" hidden="false" customHeight="false" outlineLevel="0" collapsed="false">
      <c r="A33" s="17" t="n">
        <v>31</v>
      </c>
      <c r="B33" s="24"/>
      <c r="C33" s="24"/>
      <c r="D33" s="24" t="n">
        <v>0.0491827613963525</v>
      </c>
      <c r="E33" s="24"/>
      <c r="F33" s="24"/>
      <c r="G33" s="24"/>
      <c r="H33" s="24"/>
      <c r="I33" s="24"/>
    </row>
    <row r="34" customFormat="false" ht="15" hidden="false" customHeight="false" outlineLevel="0" collapsed="false">
      <c r="A34" s="17" t="n">
        <v>32</v>
      </c>
      <c r="B34" s="24"/>
      <c r="C34" s="24"/>
      <c r="D34" s="24" t="n">
        <v>0.0491825638645129</v>
      </c>
      <c r="E34" s="24"/>
      <c r="F34" s="24"/>
      <c r="G34" s="24"/>
      <c r="H34" s="24"/>
      <c r="I3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11" t="s">
        <v>122</v>
      </c>
      <c r="B1" s="11" t="s">
        <v>34</v>
      </c>
      <c r="C1" s="11" t="s">
        <v>123</v>
      </c>
      <c r="D1" s="11" t="s">
        <v>124</v>
      </c>
      <c r="E1" s="11" t="s">
        <v>125</v>
      </c>
      <c r="F1" s="11" t="s">
        <v>126</v>
      </c>
    </row>
    <row r="2" customFormat="false" ht="15" hidden="false" customHeight="false" outlineLevel="0" collapsed="false">
      <c r="A2" s="17" t="s">
        <v>127</v>
      </c>
      <c r="B2" s="17" t="s">
        <v>50</v>
      </c>
      <c r="C2" s="17" t="s">
        <v>128</v>
      </c>
      <c r="D2" s="17" t="s">
        <v>129</v>
      </c>
      <c r="E2" s="17" t="s">
        <v>130</v>
      </c>
      <c r="F2" s="17" t="s">
        <v>131</v>
      </c>
    </row>
    <row r="3" customFormat="false" ht="15" hidden="false" customHeight="false" outlineLevel="0" collapsed="false">
      <c r="A3" s="17" t="s">
        <v>127</v>
      </c>
      <c r="B3" s="17" t="s">
        <v>55</v>
      </c>
      <c r="C3" s="17" t="s">
        <v>128</v>
      </c>
      <c r="D3" s="17" t="s">
        <v>129</v>
      </c>
      <c r="E3" s="17" t="s">
        <v>132</v>
      </c>
      <c r="F3" s="17" t="s">
        <v>133</v>
      </c>
    </row>
    <row r="4" customFormat="false" ht="15" hidden="false" customHeight="false" outlineLevel="0" collapsed="false">
      <c r="A4" s="17" t="s">
        <v>127</v>
      </c>
      <c r="B4" s="17" t="s">
        <v>59</v>
      </c>
      <c r="C4" s="17" t="s">
        <v>128</v>
      </c>
      <c r="D4" s="17" t="s">
        <v>129</v>
      </c>
      <c r="E4" s="17" t="s">
        <v>54</v>
      </c>
      <c r="F4" s="17" t="s">
        <v>134</v>
      </c>
    </row>
    <row r="5" customFormat="false" ht="15" hidden="false" customHeight="false" outlineLevel="0" collapsed="false">
      <c r="A5" s="17" t="s">
        <v>127</v>
      </c>
      <c r="B5" s="17" t="s">
        <v>64</v>
      </c>
      <c r="C5" s="17" t="s">
        <v>128</v>
      </c>
      <c r="D5" s="17" t="s">
        <v>129</v>
      </c>
      <c r="E5" s="17" t="s">
        <v>134</v>
      </c>
      <c r="F5" s="17" t="s">
        <v>135</v>
      </c>
    </row>
    <row r="6" customFormat="false" ht="15" hidden="false" customHeight="false" outlineLevel="0" collapsed="false">
      <c r="A6" s="17" t="s">
        <v>127</v>
      </c>
      <c r="B6" s="17" t="s">
        <v>67</v>
      </c>
      <c r="C6" s="17" t="s">
        <v>128</v>
      </c>
      <c r="D6" s="17" t="s">
        <v>129</v>
      </c>
      <c r="E6" s="17" t="s">
        <v>136</v>
      </c>
      <c r="F6" s="17" t="s">
        <v>137</v>
      </c>
    </row>
    <row r="7" customFormat="false" ht="15" hidden="false" customHeight="false" outlineLevel="0" collapsed="false">
      <c r="A7" s="17" t="s">
        <v>127</v>
      </c>
      <c r="B7" s="17" t="s">
        <v>67</v>
      </c>
      <c r="C7" s="17" t="s">
        <v>138</v>
      </c>
      <c r="D7" s="17" t="s">
        <v>139</v>
      </c>
      <c r="E7" s="17" t="s">
        <v>137</v>
      </c>
      <c r="F7" s="17" t="s">
        <v>140</v>
      </c>
    </row>
    <row r="8" customFormat="false" ht="15" hidden="false" customHeight="false" outlineLevel="0" collapsed="false">
      <c r="A8" s="17" t="s">
        <v>127</v>
      </c>
      <c r="B8" s="17" t="s">
        <v>72</v>
      </c>
      <c r="C8" s="17" t="s">
        <v>128</v>
      </c>
      <c r="D8" s="17" t="s">
        <v>129</v>
      </c>
      <c r="E8" s="17" t="s">
        <v>136</v>
      </c>
      <c r="F8" s="17" t="s">
        <v>134</v>
      </c>
    </row>
    <row r="9" customFormat="false" ht="15" hidden="false" customHeight="false" outlineLevel="0" collapsed="false">
      <c r="A9" s="17" t="s">
        <v>127</v>
      </c>
      <c r="B9" s="17" t="s">
        <v>77</v>
      </c>
      <c r="C9" s="17" t="s">
        <v>128</v>
      </c>
      <c r="D9" s="17" t="s">
        <v>129</v>
      </c>
      <c r="E9" s="17" t="s">
        <v>141</v>
      </c>
      <c r="F9" s="17" t="s">
        <v>142</v>
      </c>
    </row>
    <row r="10" customFormat="false" ht="15" hidden="false" customHeight="false" outlineLevel="0" collapsed="false">
      <c r="A10" s="17" t="s">
        <v>127</v>
      </c>
      <c r="B10" s="17" t="s">
        <v>82</v>
      </c>
      <c r="C10" s="17" t="s">
        <v>128</v>
      </c>
      <c r="D10" s="17" t="s">
        <v>129</v>
      </c>
      <c r="E10" s="17" t="s">
        <v>143</v>
      </c>
      <c r="F10" s="17" t="s">
        <v>144</v>
      </c>
    </row>
    <row r="12" customFormat="false" ht="15" hidden="false" customHeight="false" outlineLevel="0" collapsed="false">
      <c r="A12" s="25" t="s">
        <v>145</v>
      </c>
    </row>
    <row r="13" customFormat="false" ht="15" hidden="false" customHeight="false" outlineLevel="0" collapsed="false">
      <c r="A13" s="2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2026-07-02T15:35:22Z</dcterms:created>
  <dc:creator>openpyxl</dc:creator>
  <dc:description/>
  <dc:language>en-US</dc:language>
  <cp:lastModifiedBy/>
  <dcterms:modified xsi:type="dcterms:W3CDTF">2026-07-02T15:35:23Z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